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arudraswamy.r\Downloads\"/>
    </mc:Choice>
  </mc:AlternateContent>
  <xr:revisionPtr revIDLastSave="0" documentId="13_ncr:1_{DB99FAE3-1BF8-4FBA-A97E-FFCF5E6B0089}" xr6:coauthVersionLast="47" xr6:coauthVersionMax="47" xr10:uidLastSave="{00000000-0000-0000-0000-000000000000}"/>
  <bookViews>
    <workbookView xWindow="-110" yWindow="-110" windowWidth="19420" windowHeight="10300" tabRatio="823" activeTab="2" xr2:uid="{00000000-000D-0000-FFFF-FFFF00000000}"/>
  </bookViews>
  <sheets>
    <sheet name="Full Stats" sheetId="13" r:id="rId1"/>
    <sheet name="Internship" sheetId="16" r:id="rId2"/>
    <sheet name="Students List" sheetId="18" r:id="rId3"/>
  </sheets>
  <externalReferences>
    <externalReference r:id="rId4"/>
  </externalReferences>
  <definedNames>
    <definedName name="_xlnm._FilterDatabase" localSheetId="0" hidden="1">'Full Stats'!$A$3:$AB$122</definedName>
    <definedName name="_xlnm._FilterDatabase" localSheetId="1" hidden="1">Internship!$A$3:$AC$150</definedName>
    <definedName name="_xlnm._FilterDatabase" localSheetId="2" hidden="1">'Students List'!$G$2:$G$1113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50" i="16" l="1"/>
  <c r="Y41" i="16"/>
  <c r="Y77" i="16"/>
  <c r="X112" i="13"/>
  <c r="X113" i="13"/>
  <c r="X114" i="13"/>
  <c r="X115" i="13"/>
  <c r="X116" i="13"/>
  <c r="Y130" i="16"/>
  <c r="Y131" i="16"/>
  <c r="Y132" i="16"/>
  <c r="Y124" i="16"/>
  <c r="Y113" i="16"/>
  <c r="X85" i="13"/>
  <c r="X86" i="13"/>
  <c r="X83" i="13"/>
  <c r="X84" i="13"/>
  <c r="X69" i="13"/>
  <c r="X70" i="13"/>
  <c r="X56" i="13"/>
  <c r="Y67" i="16"/>
  <c r="Y66" i="16"/>
  <c r="X17" i="13"/>
  <c r="Y35" i="16"/>
  <c r="Y25" i="16"/>
  <c r="Y20" i="16"/>
  <c r="Y9" i="16"/>
  <c r="Y27" i="16"/>
  <c r="Y14" i="16"/>
  <c r="R124" i="13"/>
  <c r="S152" i="16"/>
  <c r="Y11" i="16"/>
  <c r="X10" i="13"/>
  <c r="Y143" i="16" l="1"/>
  <c r="Y115" i="16"/>
  <c r="Y123" i="16"/>
  <c r="Y78" i="16"/>
  <c r="K4" i="13" l="1"/>
  <c r="I4" i="13"/>
  <c r="F4" i="13" l="1"/>
  <c r="N4" i="13"/>
  <c r="H4" i="13"/>
  <c r="T4" i="13"/>
  <c r="G4" i="13"/>
  <c r="U4" i="13"/>
  <c r="R4" i="13"/>
  <c r="W4" i="13"/>
  <c r="V4" i="13"/>
  <c r="Q4" i="13"/>
  <c r="S4" i="13"/>
  <c r="P4" i="13"/>
  <c r="O4" i="13"/>
  <c r="M4" i="13"/>
  <c r="L4" i="13"/>
  <c r="J4" i="13"/>
  <c r="Y114" i="16"/>
  <c r="Y111" i="16" l="1"/>
  <c r="Y107" i="16" l="1"/>
  <c r="Y15" i="16" l="1"/>
  <c r="Y96" i="16" l="1"/>
  <c r="Y98" i="16" l="1"/>
  <c r="Y100" i="16" l="1"/>
  <c r="X101" i="13" l="1"/>
  <c r="X100" i="13"/>
  <c r="X94" i="13" l="1"/>
  <c r="Y81" i="16" l="1"/>
  <c r="Y80" i="16"/>
  <c r="X74" i="13" l="1"/>
  <c r="Y69" i="16"/>
  <c r="Y59" i="16" l="1"/>
  <c r="Y58" i="16"/>
  <c r="Y57" i="16"/>
  <c r="Y56" i="16"/>
  <c r="Y55" i="16"/>
  <c r="Y47" i="16" l="1"/>
  <c r="X71" i="13" l="1"/>
  <c r="X72" i="13"/>
  <c r="X73" i="13"/>
  <c r="X75" i="13"/>
  <c r="X76" i="13"/>
  <c r="X77" i="13"/>
  <c r="X78" i="13"/>
  <c r="X79" i="13"/>
  <c r="X80" i="13"/>
  <c r="X81" i="13"/>
  <c r="X82" i="13"/>
  <c r="X87" i="13"/>
  <c r="X88" i="13"/>
  <c r="X90" i="13"/>
  <c r="X89" i="13"/>
  <c r="X91" i="13"/>
  <c r="X92" i="13"/>
  <c r="X93" i="13"/>
  <c r="X95" i="13"/>
  <c r="X96" i="13"/>
  <c r="X97" i="13"/>
  <c r="X98" i="13"/>
  <c r="X99" i="13"/>
  <c r="X102" i="13"/>
  <c r="X103" i="13"/>
  <c r="X104" i="13"/>
  <c r="X105" i="13"/>
  <c r="X106" i="13"/>
  <c r="X107" i="13"/>
  <c r="X108" i="13"/>
  <c r="X109" i="13"/>
  <c r="X110" i="13"/>
  <c r="X111" i="13"/>
  <c r="X117" i="13"/>
  <c r="X118" i="13"/>
  <c r="X119" i="13"/>
  <c r="X120" i="13"/>
  <c r="X121" i="13"/>
  <c r="X122" i="13"/>
  <c r="X62" i="13"/>
  <c r="X63" i="13"/>
  <c r="X64" i="13"/>
  <c r="X65" i="13"/>
  <c r="X66" i="13"/>
  <c r="X67" i="13"/>
  <c r="X68" i="13"/>
  <c r="X55" i="13"/>
  <c r="X57" i="13"/>
  <c r="X58" i="13"/>
  <c r="X59" i="13"/>
  <c r="X60" i="13"/>
  <c r="X61" i="13"/>
  <c r="X45" i="13"/>
  <c r="X46" i="13"/>
  <c r="X47" i="13"/>
  <c r="X48" i="13"/>
  <c r="X49" i="13"/>
  <c r="X51" i="13"/>
  <c r="X52" i="13"/>
  <c r="X53" i="13"/>
  <c r="X54" i="13"/>
  <c r="X44" i="13"/>
  <c r="Y30" i="16" l="1"/>
  <c r="Y31" i="16"/>
  <c r="Y24" i="16" l="1"/>
  <c r="Y8" i="16"/>
  <c r="K152" i="16"/>
  <c r="X18" i="13" l="1"/>
  <c r="X23" i="13"/>
  <c r="X25" i="13"/>
  <c r="J124" i="13" l="1"/>
  <c r="Y122" i="16" l="1"/>
  <c r="Y22" i="16" l="1"/>
  <c r="Y146" i="16" l="1"/>
  <c r="Y50" i="16" l="1"/>
  <c r="Y51" i="16"/>
  <c r="Y106" i="16"/>
  <c r="X24" i="13" l="1"/>
  <c r="Y128" i="16"/>
  <c r="Y129" i="16" l="1"/>
  <c r="Y121" i="16" l="1"/>
  <c r="G152" i="16" l="1"/>
  <c r="H152" i="16"/>
  <c r="I152" i="16"/>
  <c r="J152" i="16"/>
  <c r="M152" i="16"/>
  <c r="N152" i="16"/>
  <c r="O152" i="16"/>
  <c r="P152" i="16"/>
  <c r="Q152" i="16"/>
  <c r="R152" i="16"/>
  <c r="T152" i="16"/>
  <c r="U152" i="16"/>
  <c r="V152" i="16"/>
  <c r="W152" i="16"/>
  <c r="X152" i="16"/>
  <c r="L152" i="16"/>
  <c r="Y23" i="16" l="1"/>
  <c r="Y13" i="16" l="1"/>
  <c r="Y16" i="16"/>
  <c r="Y6" i="16"/>
  <c r="Y5" i="16" l="1"/>
  <c r="Y7" i="16"/>
  <c r="Y10" i="16"/>
  <c r="Y12" i="16"/>
  <c r="Y17" i="16"/>
  <c r="Y18" i="16"/>
  <c r="Y19" i="16"/>
  <c r="Y21" i="16"/>
  <c r="Y26" i="16"/>
  <c r="Y28" i="16"/>
  <c r="Y29" i="16"/>
  <c r="Y32" i="16"/>
  <c r="Y33" i="16"/>
  <c r="Y34" i="16"/>
  <c r="Y36" i="16"/>
  <c r="Y37" i="16"/>
  <c r="Y38" i="16"/>
  <c r="Y39" i="16"/>
  <c r="Y40" i="16"/>
  <c r="Y42" i="16"/>
  <c r="Y43" i="16"/>
  <c r="Y44" i="16"/>
  <c r="Y45" i="16"/>
  <c r="Y46" i="16"/>
  <c r="Y48" i="16"/>
  <c r="Y49" i="16"/>
  <c r="Y52" i="16"/>
  <c r="Y53" i="16"/>
  <c r="Y54" i="16"/>
  <c r="Y60" i="16"/>
  <c r="Y61" i="16"/>
  <c r="Y62" i="16"/>
  <c r="Y63" i="16"/>
  <c r="Y64" i="16"/>
  <c r="Y65" i="16"/>
  <c r="Y68" i="16"/>
  <c r="Y70" i="16"/>
  <c r="Y71" i="16"/>
  <c r="Y72" i="16"/>
  <c r="Y73" i="16"/>
  <c r="Y74" i="16"/>
  <c r="Y75" i="16"/>
  <c r="Y76" i="16"/>
  <c r="Y79" i="16"/>
  <c r="Y82" i="16"/>
  <c r="Y83" i="16"/>
  <c r="Y84" i="16"/>
  <c r="Y85" i="16"/>
  <c r="Y86" i="16"/>
  <c r="Y87" i="16"/>
  <c r="Y88" i="16"/>
  <c r="Y89" i="16"/>
  <c r="Y90" i="16"/>
  <c r="Y91" i="16"/>
  <c r="Y92" i="16"/>
  <c r="Y93" i="16"/>
  <c r="Y94" i="16"/>
  <c r="Y95" i="16"/>
  <c r="Y97" i="16"/>
  <c r="Y99" i="16"/>
  <c r="Y101" i="16"/>
  <c r="Y102" i="16"/>
  <c r="Y103" i="16"/>
  <c r="Y104" i="16"/>
  <c r="Y105" i="16"/>
  <c r="Y108" i="16"/>
  <c r="Y109" i="16"/>
  <c r="Y110" i="16"/>
  <c r="Y112" i="16"/>
  <c r="Y116" i="16"/>
  <c r="Y117" i="16"/>
  <c r="Y118" i="16"/>
  <c r="Y119" i="16"/>
  <c r="Y120" i="16"/>
  <c r="Y125" i="16"/>
  <c r="Y126" i="16"/>
  <c r="Y127" i="16"/>
  <c r="Y133" i="16"/>
  <c r="Y134" i="16"/>
  <c r="Y135" i="16"/>
  <c r="Y136" i="16"/>
  <c r="Y137" i="16"/>
  <c r="Y138" i="16"/>
  <c r="Y139" i="16"/>
  <c r="Y140" i="16"/>
  <c r="Y141" i="16"/>
  <c r="Y142" i="16"/>
  <c r="Y145" i="16"/>
  <c r="Y144" i="16"/>
  <c r="Y147" i="16"/>
  <c r="Y148" i="16"/>
  <c r="Y149" i="16"/>
  <c r="X5" i="13"/>
  <c r="X7" i="13"/>
  <c r="X8" i="13"/>
  <c r="X9" i="13"/>
  <c r="X11" i="13"/>
  <c r="X12" i="13"/>
  <c r="X13" i="13"/>
  <c r="X14" i="13"/>
  <c r="X15" i="13"/>
  <c r="X16" i="13"/>
  <c r="X19" i="13"/>
  <c r="X20" i="13"/>
  <c r="X21" i="13"/>
  <c r="X22" i="13"/>
  <c r="X26" i="13"/>
  <c r="X27" i="13"/>
  <c r="X28" i="13"/>
  <c r="X29" i="13"/>
  <c r="X30" i="13"/>
  <c r="X31" i="13"/>
  <c r="X32" i="13"/>
  <c r="X33" i="13"/>
  <c r="X34" i="13"/>
  <c r="X35" i="13"/>
  <c r="X36" i="13"/>
  <c r="X37" i="13"/>
  <c r="X38" i="13"/>
  <c r="X39" i="13"/>
  <c r="X40" i="13"/>
  <c r="X41" i="13"/>
  <c r="X42" i="13"/>
  <c r="X43" i="13"/>
  <c r="X50" i="13"/>
  <c r="F124" i="13"/>
  <c r="G124" i="13"/>
  <c r="H124" i="13"/>
  <c r="I124" i="13"/>
  <c r="L124" i="13"/>
  <c r="M124" i="13"/>
  <c r="N124" i="13"/>
  <c r="O124" i="13"/>
  <c r="P124" i="13"/>
  <c r="Q124" i="13"/>
  <c r="S124" i="13"/>
  <c r="T124" i="13"/>
  <c r="U124" i="13"/>
  <c r="V124" i="13"/>
  <c r="W124" i="13"/>
  <c r="Y124" i="13"/>
  <c r="Y152" i="16" l="1"/>
  <c r="T4" i="16" l="1"/>
  <c r="O4" i="16"/>
  <c r="K124" i="13" l="1"/>
  <c r="X6" i="13"/>
  <c r="X124" i="13" s="1"/>
  <c r="H4" i="16" l="1"/>
  <c r="U4" i="16" l="1"/>
  <c r="L4" i="16" l="1"/>
  <c r="P4" i="16" l="1"/>
  <c r="G4" i="16"/>
  <c r="K4" i="16"/>
  <c r="I4" i="16"/>
  <c r="X4" i="16" l="1"/>
  <c r="W4" i="16"/>
  <c r="V4" i="16"/>
  <c r="R4" i="16"/>
  <c r="Q4" i="16"/>
  <c r="N4" i="16"/>
  <c r="J4" i="16"/>
  <c r="X4" i="13" l="1"/>
  <c r="M4" i="16"/>
  <c r="Y4" i="16" s="1"/>
</calcChain>
</file>

<file path=xl/sharedStrings.xml><?xml version="1.0" encoding="utf-8"?>
<sst xmlns="http://schemas.openxmlformats.org/spreadsheetml/2006/main" count="6579" uniqueCount="2219">
  <si>
    <t>BE Total</t>
    <phoneticPr fontId="1" type="noConversion"/>
  </si>
  <si>
    <t>CS</t>
  </si>
  <si>
    <t>IT</t>
  </si>
  <si>
    <t xml:space="preserve">  EC</t>
  </si>
  <si>
    <t xml:space="preserve">  EE</t>
  </si>
  <si>
    <t xml:space="preserve">  IC</t>
  </si>
  <si>
    <t xml:space="preserve">  ME</t>
  </si>
  <si>
    <t xml:space="preserve">  IP</t>
  </si>
  <si>
    <t xml:space="preserve"> CH</t>
  </si>
  <si>
    <t xml:space="preserve">  BM</t>
  </si>
  <si>
    <t xml:space="preserve">  BT</t>
  </si>
  <si>
    <t>Date of Visit</t>
  </si>
  <si>
    <t>Company Name</t>
  </si>
  <si>
    <t>MT</t>
  </si>
  <si>
    <t>Sl.no.</t>
  </si>
  <si>
    <t>CV</t>
  </si>
  <si>
    <t>AE</t>
  </si>
  <si>
    <t>AU</t>
  </si>
  <si>
    <t>CTC(Lakhs per annum)</t>
  </si>
  <si>
    <t>P</t>
  </si>
  <si>
    <t>P+I</t>
  </si>
  <si>
    <t>I</t>
  </si>
  <si>
    <t>CC</t>
  </si>
  <si>
    <t>Category</t>
  </si>
  <si>
    <t>Type</t>
  </si>
  <si>
    <t>Building</t>
  </si>
  <si>
    <t>Chemical</t>
  </si>
  <si>
    <t>Computer</t>
  </si>
  <si>
    <t>Electrical</t>
  </si>
  <si>
    <t>Mechanical</t>
  </si>
  <si>
    <t>Stream</t>
  </si>
  <si>
    <t>Stipend</t>
  </si>
  <si>
    <t>BE Total</t>
  </si>
  <si>
    <t>Date of Visit/Result announce</t>
  </si>
  <si>
    <t>Total Offers</t>
  </si>
  <si>
    <t>Total Placed</t>
  </si>
  <si>
    <t>Recruitment Team Visited</t>
  </si>
  <si>
    <t>DS</t>
  </si>
  <si>
    <t>EI</t>
  </si>
  <si>
    <t>Duration</t>
  </si>
  <si>
    <t>AIML</t>
  </si>
  <si>
    <t>Core IT</t>
  </si>
  <si>
    <t>Core Engg</t>
  </si>
  <si>
    <t>Analytics</t>
  </si>
  <si>
    <t>Consulting</t>
  </si>
  <si>
    <t>Philips</t>
  </si>
  <si>
    <t>Healthcare</t>
  </si>
  <si>
    <t>ITES</t>
  </si>
  <si>
    <t>ARM</t>
  </si>
  <si>
    <t>Indus Insights</t>
  </si>
  <si>
    <t>Intel</t>
  </si>
  <si>
    <t>Infineon</t>
  </si>
  <si>
    <t>NetApp</t>
  </si>
  <si>
    <t>Harness</t>
  </si>
  <si>
    <t>CAMPUS Internship -  2025-26</t>
  </si>
  <si>
    <t>CAMPUS PLACEMENTS -  2025-2026</t>
  </si>
  <si>
    <t>Schlumberger (SLB)</t>
  </si>
  <si>
    <t>July-Dec</t>
  </si>
  <si>
    <t>July-May</t>
  </si>
  <si>
    <t>e6Data</t>
  </si>
  <si>
    <t>Super Agi</t>
  </si>
  <si>
    <t>ST Microelectronics</t>
  </si>
  <si>
    <t>DBS Technology</t>
  </si>
  <si>
    <t>CPS</t>
  </si>
  <si>
    <t>July-June</t>
  </si>
  <si>
    <t>Amazon Tech</t>
  </si>
  <si>
    <t>Amazon Non Tech</t>
  </si>
  <si>
    <t>Samsung Electro Mechanics</t>
  </si>
  <si>
    <t>MSCI</t>
  </si>
  <si>
    <t>The Porter</t>
  </si>
  <si>
    <t>Fischer Jordan PPO</t>
  </si>
  <si>
    <t>Jan-June</t>
  </si>
  <si>
    <t>Fintech</t>
  </si>
  <si>
    <t>FinTech</t>
  </si>
  <si>
    <t>Deloitte</t>
  </si>
  <si>
    <t>Nvidia</t>
  </si>
  <si>
    <t>Aecesium</t>
  </si>
  <si>
    <t>Goldman Sachs PPO</t>
  </si>
  <si>
    <t>WDC PPO</t>
  </si>
  <si>
    <t>D E Shaw PPO</t>
  </si>
  <si>
    <t>Siemens Healthineers</t>
  </si>
  <si>
    <t>July-July</t>
  </si>
  <si>
    <t>Resmed</t>
  </si>
  <si>
    <t>ITC Foods PPO</t>
  </si>
  <si>
    <t>FMCG</t>
  </si>
  <si>
    <t>HyperVerge (ML)</t>
  </si>
  <si>
    <t>Aug-June</t>
  </si>
  <si>
    <t>Saviynt</t>
  </si>
  <si>
    <t>Uber PPO</t>
  </si>
  <si>
    <t>Twara Robotics</t>
  </si>
  <si>
    <t>Volvo</t>
  </si>
  <si>
    <t>AQR Capital PPO</t>
  </si>
  <si>
    <t>Commscope</t>
  </si>
  <si>
    <t>Barsys</t>
  </si>
  <si>
    <t>Equal</t>
  </si>
  <si>
    <t>GE Healthcare PPO</t>
  </si>
  <si>
    <t>HyperVerge (DE)</t>
  </si>
  <si>
    <t>SAP Labs</t>
  </si>
  <si>
    <t>Aug-May</t>
  </si>
  <si>
    <t>JP Morgan PPO</t>
  </si>
  <si>
    <t>Boeing PPO</t>
  </si>
  <si>
    <t>VISA PPO</t>
  </si>
  <si>
    <t>Komprise</t>
  </si>
  <si>
    <t>Oracle</t>
  </si>
  <si>
    <t>Wellsfargo PPO</t>
  </si>
  <si>
    <t>Meesho</t>
  </si>
  <si>
    <t>JP Morgan</t>
  </si>
  <si>
    <t>Nutanix</t>
  </si>
  <si>
    <t>BNY Mellon PPO</t>
  </si>
  <si>
    <t>Microsoft PPO</t>
  </si>
  <si>
    <t>MUFG</t>
  </si>
  <si>
    <t>Sabre (BA)</t>
  </si>
  <si>
    <t>Sabre (SE)</t>
  </si>
  <si>
    <t>ITC Foods</t>
  </si>
  <si>
    <t>Coer IT</t>
  </si>
  <si>
    <t>BlackRock</t>
  </si>
  <si>
    <t>Cisco</t>
  </si>
  <si>
    <t>Cisco (HW)</t>
  </si>
  <si>
    <t>Schneider Electric</t>
  </si>
  <si>
    <t>ABB</t>
  </si>
  <si>
    <t>HPE CPP</t>
  </si>
  <si>
    <t>Cisco PPO</t>
  </si>
  <si>
    <t>Kenvue PPO</t>
  </si>
  <si>
    <t>IBM</t>
  </si>
  <si>
    <t>ZS Associates (BTSA)</t>
  </si>
  <si>
    <t>ZS Associates (DAA)</t>
  </si>
  <si>
    <t>HyperVerge(MLE)</t>
  </si>
  <si>
    <t>Rystad Energy</t>
  </si>
  <si>
    <t>SolarWinds</t>
  </si>
  <si>
    <t>Bottomline</t>
  </si>
  <si>
    <t>Deloitte Capstone</t>
  </si>
  <si>
    <t>GE Healthcare (Non CS)</t>
  </si>
  <si>
    <t>Ge Healthcare (CS Role)</t>
  </si>
  <si>
    <t>Honeywell</t>
  </si>
  <si>
    <t>SanDisk</t>
  </si>
  <si>
    <t>Beghou Consulting</t>
  </si>
  <si>
    <t>Okta India</t>
  </si>
  <si>
    <t>Goldman Sachs (OP/GM)</t>
  </si>
  <si>
    <t>Cloudera</t>
  </si>
  <si>
    <t>Deloitte USI Consulting</t>
  </si>
  <si>
    <t>Deloitte India</t>
  </si>
  <si>
    <t>Verizon</t>
  </si>
  <si>
    <t>Fractal Analytics</t>
  </si>
  <si>
    <t>Relanto Global</t>
  </si>
  <si>
    <t>HyperVerge (SDE)</t>
  </si>
  <si>
    <t>LinkedIn PPO</t>
  </si>
  <si>
    <t>FlipKart</t>
  </si>
  <si>
    <t>Addverb</t>
  </si>
  <si>
    <t>Accenture</t>
  </si>
  <si>
    <t>Qwixpert</t>
  </si>
  <si>
    <t>Amazon</t>
  </si>
  <si>
    <t>NXP Semiconductors</t>
  </si>
  <si>
    <t>Axxela</t>
  </si>
  <si>
    <t>Cisco SW / BA</t>
  </si>
  <si>
    <t>Forma AI</t>
  </si>
  <si>
    <t>KPMG</t>
  </si>
  <si>
    <t>Oracle CAGIU</t>
  </si>
  <si>
    <t>TVS Motors</t>
  </si>
  <si>
    <t>KPMG Digital Trust</t>
  </si>
  <si>
    <t>Eli Lilly</t>
  </si>
  <si>
    <t>Bain Capability Network</t>
  </si>
  <si>
    <t>EGDK</t>
  </si>
  <si>
    <t>Commonwealth Bank</t>
  </si>
  <si>
    <t>Sigmoid Analytics</t>
  </si>
  <si>
    <t>Myntra</t>
  </si>
  <si>
    <t>Tredence Analytics (DS)</t>
  </si>
  <si>
    <t>Tredence Analytics (DA)</t>
  </si>
  <si>
    <t>Indus Insights(I2P)</t>
  </si>
  <si>
    <t>Simnovus</t>
  </si>
  <si>
    <t>HPE Juniper Networks</t>
  </si>
  <si>
    <t>Cynlr</t>
  </si>
  <si>
    <t>Siemens Technology</t>
  </si>
  <si>
    <t>Dentsu Global</t>
  </si>
  <si>
    <t>Impact Analytics</t>
  </si>
  <si>
    <t>GEP Worldwide</t>
  </si>
  <si>
    <t>Oracle Finance</t>
  </si>
  <si>
    <t>Daimler</t>
  </si>
  <si>
    <t>Unilever</t>
  </si>
  <si>
    <t>IDFC First Bank</t>
  </si>
  <si>
    <t>TAFE</t>
  </si>
  <si>
    <t>UD Trucks</t>
  </si>
  <si>
    <t>EY India</t>
  </si>
  <si>
    <t>Asian Paints</t>
  </si>
  <si>
    <t>Super AGI</t>
  </si>
  <si>
    <t>L&amp;T Finance</t>
  </si>
  <si>
    <t>Caterpillar</t>
  </si>
  <si>
    <t>Konduit</t>
  </si>
  <si>
    <t>LeadSquared</t>
  </si>
  <si>
    <t>Quantiphi</t>
  </si>
  <si>
    <t>Oracle Lift Cloud</t>
  </si>
  <si>
    <t>Infosys (ITES)</t>
  </si>
  <si>
    <t>Maruti Suzuki</t>
  </si>
  <si>
    <t>Mangalore Infotech (Unicourt)</t>
  </si>
  <si>
    <t>ICICI Bank</t>
  </si>
  <si>
    <t>Incedo</t>
  </si>
  <si>
    <t>Reliance Industries</t>
  </si>
  <si>
    <t>Optum</t>
  </si>
  <si>
    <t>Boeing</t>
  </si>
  <si>
    <t>Tata Motors</t>
  </si>
  <si>
    <t>Amazon SDE</t>
  </si>
  <si>
    <t>Suprajit</t>
  </si>
  <si>
    <t>Apple</t>
  </si>
  <si>
    <t>Analog Devices</t>
  </si>
  <si>
    <t>Amlak</t>
  </si>
  <si>
    <t>ELGi Equipments</t>
  </si>
  <si>
    <t>Tata Advanced Systems Ltd</t>
  </si>
  <si>
    <t>Jio Creative Labs</t>
  </si>
  <si>
    <t>PureStorage</t>
  </si>
  <si>
    <t>Namma Yatri</t>
  </si>
  <si>
    <t>L&amp;T chennai</t>
  </si>
  <si>
    <t>JSW</t>
  </si>
  <si>
    <t>Reliance Consumer Products (RCPL)</t>
  </si>
  <si>
    <t>Mphasis</t>
  </si>
  <si>
    <t>Meesho (Sr. Associate)</t>
  </si>
  <si>
    <t>AirBus</t>
  </si>
  <si>
    <t>Amazon (PM &amp; MO)</t>
  </si>
  <si>
    <t>Amazon Non SDE</t>
  </si>
  <si>
    <t>Fracktal Works</t>
  </si>
  <si>
    <t>PWC</t>
  </si>
  <si>
    <t>ITC Infotech</t>
  </si>
  <si>
    <t>KPMG GRCS Real Estate</t>
  </si>
  <si>
    <t>Equifax</t>
  </si>
  <si>
    <t>Cashfree Payments</t>
  </si>
  <si>
    <t>Accenture (AASE)</t>
  </si>
  <si>
    <t>The AI Catalyst</t>
  </si>
  <si>
    <t>Binocs</t>
  </si>
  <si>
    <t>MoveInSync</t>
  </si>
  <si>
    <t>Accenture (ASE)</t>
  </si>
  <si>
    <t>Mindtree</t>
  </si>
  <si>
    <t>Gale Agency</t>
  </si>
  <si>
    <t>JLL India</t>
  </si>
  <si>
    <t>ABInBev</t>
  </si>
  <si>
    <t>HyperVerge (Jr SA)</t>
  </si>
  <si>
    <t>ChangeJar Technology</t>
  </si>
  <si>
    <t>L&amp;T, Chennai</t>
  </si>
  <si>
    <t>CEM India</t>
  </si>
  <si>
    <t>Coca Cola</t>
  </si>
  <si>
    <t>Tata Technologies</t>
  </si>
  <si>
    <t>Ericsson</t>
  </si>
  <si>
    <t>Data Axle</t>
  </si>
  <si>
    <t>Kotak Mahindra Bank</t>
  </si>
  <si>
    <t>No Stipend</t>
  </si>
  <si>
    <t>Sl.No.</t>
  </si>
  <si>
    <t>Reg. No.</t>
  </si>
  <si>
    <t>Name</t>
  </si>
  <si>
    <t>CGPA</t>
  </si>
  <si>
    <t>Contact No.</t>
  </si>
  <si>
    <t>Email id</t>
  </si>
  <si>
    <t>Branch</t>
  </si>
  <si>
    <t>Offer Type</t>
  </si>
  <si>
    <t>CTC</t>
  </si>
  <si>
    <t>Aditya Gosavi</t>
  </si>
  <si>
    <t>adityajgosavi@gmail.com</t>
  </si>
  <si>
    <t>CSE AIML</t>
  </si>
  <si>
    <t>Aditya Amit Kinjawadekar</t>
  </si>
  <si>
    <t>k.aditya2004@gmail.com</t>
  </si>
  <si>
    <t>Computer Science (CS)</t>
  </si>
  <si>
    <t>Sathu Ashrith</t>
  </si>
  <si>
    <t>sathuashrith@gmail.com</t>
  </si>
  <si>
    <t>Triyan Mukherjee</t>
  </si>
  <si>
    <t>triyanmukherjee@gmail.com</t>
  </si>
  <si>
    <t>Computer &amp; Communication (CC)</t>
  </si>
  <si>
    <t>Avadhanam Ruthvik</t>
  </si>
  <si>
    <t>aruthvik125@gmail.com</t>
  </si>
  <si>
    <t>Pragya Gupta</t>
  </si>
  <si>
    <t>pragyag2575@gmail.com</t>
  </si>
  <si>
    <t>Ira Lath Gupta</t>
  </si>
  <si>
    <t>iralathgupta@gmail.com</t>
  </si>
  <si>
    <t>Areen Chakraborty</t>
  </si>
  <si>
    <t>areen.c4@gmail.com</t>
  </si>
  <si>
    <t>Pratham Shetty</t>
  </si>
  <si>
    <t>prathamshetty484@gmail.com</t>
  </si>
  <si>
    <t>Dillon Asher Almeida</t>
  </si>
  <si>
    <t>dillonalmeida80@gmail.com</t>
  </si>
  <si>
    <t>Information Technology (IT)</t>
  </si>
  <si>
    <t>Ramya Anand</t>
  </si>
  <si>
    <t>ramya29nrj@gmail.com</t>
  </si>
  <si>
    <t>Electronics &amp; Communication (EC)</t>
  </si>
  <si>
    <t>Steve Mathew Augustian</t>
  </si>
  <si>
    <t>stevemathew2004@gmail.com</t>
  </si>
  <si>
    <t>Aditya Raj Singh</t>
  </si>
  <si>
    <t>adityarajsingh24.12@gmail.com</t>
  </si>
  <si>
    <t>Rohit Sangubotla</t>
  </si>
  <si>
    <t>sangubotlarohit@gmail.com</t>
  </si>
  <si>
    <t>Siddhika Ajmera</t>
  </si>
  <si>
    <t>siddhika.ajmera.1@gmail.com</t>
  </si>
  <si>
    <t>Chemical (CH)</t>
  </si>
  <si>
    <t>Paarth Goel</t>
  </si>
  <si>
    <t>paarthgoelofficial@gmail.com</t>
  </si>
  <si>
    <t>Electronics &amp; Instrumentation (E&amp;I)</t>
  </si>
  <si>
    <t>Morvin Prajapati</t>
  </si>
  <si>
    <t>tactmorvinap259@gmail.com</t>
  </si>
  <si>
    <t>Jeffin Joffy P</t>
  </si>
  <si>
    <t>jeffinjoffyp123@gmail.com</t>
  </si>
  <si>
    <t>Harshita Jangir</t>
  </si>
  <si>
    <t>harshita.jangir08@gmail.com</t>
  </si>
  <si>
    <t>Aashna Baheti</t>
  </si>
  <si>
    <t>aashna.baheti@gmail.com</t>
  </si>
  <si>
    <t xml:space="preserve">Ashwin Bhat </t>
  </si>
  <si>
    <t>ashwin.bhat.m@gmail.com</t>
  </si>
  <si>
    <t xml:space="preserve">Srujana Madiraju </t>
  </si>
  <si>
    <t>2004srujana@gmail.com</t>
  </si>
  <si>
    <t>Vannela Harshavardhan Reddy</t>
  </si>
  <si>
    <t>harshavardhanr0710@gmail.com</t>
  </si>
  <si>
    <t>Ambuj Shukla</t>
  </si>
  <si>
    <t>ambujshukla2004@gmail.com</t>
  </si>
  <si>
    <t>Jay Tewari</t>
  </si>
  <si>
    <t>jaytewari21@gmail.com</t>
  </si>
  <si>
    <t>Teja Ram</t>
  </si>
  <si>
    <t>4tejavsss@gmail.com</t>
  </si>
  <si>
    <t>Amber Bhargava</t>
  </si>
  <si>
    <t>amber.bhargava501@gmail.com</t>
  </si>
  <si>
    <t>Mechanical (ME)</t>
  </si>
  <si>
    <t>Rajneesh Chiplunkar</t>
  </si>
  <si>
    <t>rrchiplunkar25@gmail.com</t>
  </si>
  <si>
    <t>Sai Adithya Pavan Jayanthi</t>
  </si>
  <si>
    <t>saiadithya67@gmail.com</t>
  </si>
  <si>
    <t>Mechatronics (MT)</t>
  </si>
  <si>
    <t>Vaibhavv Maheshwari</t>
  </si>
  <si>
    <t>mvaibhavv17@gmail.com</t>
  </si>
  <si>
    <t>Ishan Surana</t>
  </si>
  <si>
    <t>ishansurana1234@gmail.com</t>
  </si>
  <si>
    <t>Sanskriti Labroo</t>
  </si>
  <si>
    <t>sanskritilabroo@gmail.com</t>
  </si>
  <si>
    <t>Rushil Jalal</t>
  </si>
  <si>
    <t>rushiljalal@gmail.com</t>
  </si>
  <si>
    <t>Medini S Rao</t>
  </si>
  <si>
    <t>medini98765@gmail.com</t>
  </si>
  <si>
    <t>Abhinav Pradeep Naidu</t>
  </si>
  <si>
    <t>abhinavpradeep558@gmail.com</t>
  </si>
  <si>
    <t>Aeronautical (AE)</t>
  </si>
  <si>
    <t>Swetha M R</t>
  </si>
  <si>
    <t>swethamageshwaran09@gmail.com</t>
  </si>
  <si>
    <t>Nikhil Nair</t>
  </si>
  <si>
    <t>nikhil37464@gmail.com</t>
  </si>
  <si>
    <t>Aaditya Jain</t>
  </si>
  <si>
    <t>aaddii22022@gmail.com</t>
  </si>
  <si>
    <t>Shravari</t>
  </si>
  <si>
    <t>shravarik4@gmail.com</t>
  </si>
  <si>
    <t>Arnav Prashant Goel</t>
  </si>
  <si>
    <t>arnavpgoel@gmail.com</t>
  </si>
  <si>
    <t>Simran Jain</t>
  </si>
  <si>
    <t>simransim2903@gmail.com</t>
  </si>
  <si>
    <t>Promit Biswas</t>
  </si>
  <si>
    <t>promit.biswas0710@gmail.com</t>
  </si>
  <si>
    <t>Amarnath B Bhat</t>
  </si>
  <si>
    <t>bhatamar8@gmail.com</t>
  </si>
  <si>
    <t>Pokuri Tejeswar</t>
  </si>
  <si>
    <t>tejeswarpokuri3@gmail.com</t>
  </si>
  <si>
    <t>Arav Chadda</t>
  </si>
  <si>
    <t>aravchadda@gmail.com</t>
  </si>
  <si>
    <t>Baibhav Mishra</t>
  </si>
  <si>
    <t>baibhavmishra2010@gmail.com</t>
  </si>
  <si>
    <t>Shivang Gulati</t>
  </si>
  <si>
    <t>shivanggulati817@gmail.com</t>
  </si>
  <si>
    <t>Anushri Sakhardande</t>
  </si>
  <si>
    <t>backup.220953138@gmail.com</t>
  </si>
  <si>
    <t>Aarya R</t>
  </si>
  <si>
    <t>aaryar.devadiga@gmail.com</t>
  </si>
  <si>
    <t>Krish Didwania</t>
  </si>
  <si>
    <t>krishdidwaniamit@gmail.com</t>
  </si>
  <si>
    <t>Navya Kulhari</t>
  </si>
  <si>
    <t>navya.kulhari227@gmail.com</t>
  </si>
  <si>
    <t>Tanay Srivastava</t>
  </si>
  <si>
    <t>tanaysriva19@gmail.com</t>
  </si>
  <si>
    <t>Pranav Kumar K</t>
  </si>
  <si>
    <t>pranavkumark10@gmail.com</t>
  </si>
  <si>
    <t>Vansh Rahul Yadav</t>
  </si>
  <si>
    <t>vanshy.2204@gmail.com</t>
  </si>
  <si>
    <t>WellsFargo PPO</t>
  </si>
  <si>
    <t>Anant Agarwal</t>
  </si>
  <si>
    <t>anant16agarwal@gmail.com</t>
  </si>
  <si>
    <t>Uppaluri Jahnavi</t>
  </si>
  <si>
    <t>ujahnavi79@gmail.com</t>
  </si>
  <si>
    <t>Shambhavi Jha</t>
  </si>
  <si>
    <t>shambhavijha2k2@gmail.com</t>
  </si>
  <si>
    <t>Arpit Jha</t>
  </si>
  <si>
    <t>arpitjha2511@gmail.com</t>
  </si>
  <si>
    <t>Sriram Sunderrajan</t>
  </si>
  <si>
    <t>write2sriram7@gmail.com</t>
  </si>
  <si>
    <t>Kavish Shah</t>
  </si>
  <si>
    <t>shahkavish0809@gmail.com</t>
  </si>
  <si>
    <t>Kshitij Sohoni</t>
  </si>
  <si>
    <t>kshitijsohoni@gmail.com</t>
  </si>
  <si>
    <t>Data Science (DS)</t>
  </si>
  <si>
    <t>Ayushman Ranjan</t>
  </si>
  <si>
    <t>imayushman11@gmail.com</t>
  </si>
  <si>
    <t>Vyjayanthi Seshadri</t>
  </si>
  <si>
    <t>vyjayanthi2022@gmail.com</t>
  </si>
  <si>
    <t>Pranav S Habbu</t>
  </si>
  <si>
    <t>pranavshabbu@gmail.com</t>
  </si>
  <si>
    <t>Anirudh Agrawal</t>
  </si>
  <si>
    <t>anirudhagrawal6778@gmail.com</t>
  </si>
  <si>
    <t>Akshay Tumunuri</t>
  </si>
  <si>
    <t>akshayteja04@gmail.com</t>
  </si>
  <si>
    <t>SAP Labs (TH)</t>
  </si>
  <si>
    <t>Prakhar Agarwal</t>
  </si>
  <si>
    <t>prakharagarwal1434@gmail.com</t>
  </si>
  <si>
    <t>Hima Sravya Kasaraneni</t>
  </si>
  <si>
    <t>kasaraneni.himasravya2004@gmail.com</t>
  </si>
  <si>
    <t>Ankur Monga</t>
  </si>
  <si>
    <t>ankur.monga04@gmail.com</t>
  </si>
  <si>
    <t>Shragvi Raviraj</t>
  </si>
  <si>
    <t>shragviraviraj@gmail.com</t>
  </si>
  <si>
    <t>Diksha Bhartia</t>
  </si>
  <si>
    <t>dikshabhartia22@gmail.com</t>
  </si>
  <si>
    <t>Roshan Kumar</t>
  </si>
  <si>
    <t>roshankaveri93@gmail.com</t>
  </si>
  <si>
    <t>Vansh Kakkar</t>
  </si>
  <si>
    <t>v.kakkar1994@gmail.com</t>
  </si>
  <si>
    <t>Aditya Kumar</t>
  </si>
  <si>
    <t>aditya.kumaraug814@gmail.com</t>
  </si>
  <si>
    <t>Ansh Gagneja</t>
  </si>
  <si>
    <t>anshgagneja1614@gmail.com</t>
  </si>
  <si>
    <t>Harshita Harshita</t>
  </si>
  <si>
    <t>harshitaharshi1807@gmail.com</t>
  </si>
  <si>
    <t>SAP Labs (TDC)</t>
  </si>
  <si>
    <t>Satvik Agrawal</t>
  </si>
  <si>
    <t>satvikagrawal.86@gmail.com</t>
  </si>
  <si>
    <t>Adithi Angeerasa</t>
  </si>
  <si>
    <t>adithi.angeerasa@gmail.com</t>
  </si>
  <si>
    <t>Shivansh Parekh</t>
  </si>
  <si>
    <t>shivanshhparekh@gmail.com</t>
  </si>
  <si>
    <t>Debangshi Kundu</t>
  </si>
  <si>
    <t>debangshikundu03@gmail.com</t>
  </si>
  <si>
    <t>Nishtha Singh M M</t>
  </si>
  <si>
    <t>nishthasingh191@gmail.com</t>
  </si>
  <si>
    <t>Amrith Shet</t>
  </si>
  <si>
    <t>amrithshet25@gmail.com</t>
  </si>
  <si>
    <t>Manas Changlani</t>
  </si>
  <si>
    <t>changlanimanas@gmail.com</t>
  </si>
  <si>
    <t>Shivli Mathur</t>
  </si>
  <si>
    <t>shivli.mathur017@gmail.com</t>
  </si>
  <si>
    <t>Komal Mathur</t>
  </si>
  <si>
    <t>komlixmathur@gmail.com</t>
  </si>
  <si>
    <t>Omkar Bhat</t>
  </si>
  <si>
    <t>omkar.16.bhat@gmail.com</t>
  </si>
  <si>
    <t>Ashwin Mittal</t>
  </si>
  <si>
    <t>ashwin.mittal3@gmail.com</t>
  </si>
  <si>
    <t>Avani Shivaramakrishnan</t>
  </si>
  <si>
    <t>avani.shivaram@gmail.com</t>
  </si>
  <si>
    <t>Srihari Srinivasan</t>
  </si>
  <si>
    <t>srihari5202004@gmail.com</t>
  </si>
  <si>
    <t>Anurag Kumar</t>
  </si>
  <si>
    <t>tech.anuragkr@gmail.com</t>
  </si>
  <si>
    <t>Ishita Deodhar</t>
  </si>
  <si>
    <t>ishitadeodhar16@gmail.com</t>
  </si>
  <si>
    <t xml:space="preserve">Shah Eva Hemantkumar </t>
  </si>
  <si>
    <t>shaheva99@gmail.com</t>
  </si>
  <si>
    <t>Suprotiv Moitra</t>
  </si>
  <si>
    <t>suprotiv.2003@gmail.com</t>
  </si>
  <si>
    <t>Navya Gupta</t>
  </si>
  <si>
    <t>navyagupta377028@gmail.com</t>
  </si>
  <si>
    <t>Raghav Singhal</t>
  </si>
  <si>
    <t>rsinghal9090@gmail.com</t>
  </si>
  <si>
    <t>Lakshay Chauhan</t>
  </si>
  <si>
    <t>dmslakshay@gmail.com</t>
  </si>
  <si>
    <t>Kavish Dhandharia</t>
  </si>
  <si>
    <t>kavishdhandharia17@gmail.com</t>
  </si>
  <si>
    <t>Akul Aggarwal</t>
  </si>
  <si>
    <t>akulaggarwal0602@gmail.com</t>
  </si>
  <si>
    <t>Tarini Jhamb</t>
  </si>
  <si>
    <t>tarinijhamb11@gmail.com</t>
  </si>
  <si>
    <t>Shivansh Arora</t>
  </si>
  <si>
    <t>arorashivansh2005@gmail.com</t>
  </si>
  <si>
    <t>Sujan Adiga</t>
  </si>
  <si>
    <t>sujanadiga1507@gmail.com</t>
  </si>
  <si>
    <t>Paridhi Kothari</t>
  </si>
  <si>
    <t>kotharipari.028@gmail.com</t>
  </si>
  <si>
    <t>Anish V R</t>
  </si>
  <si>
    <t>vranish2020@gmail.com</t>
  </si>
  <si>
    <t>CISCO (HW)</t>
  </si>
  <si>
    <t>Madhukori Chatterjee</t>
  </si>
  <si>
    <t>madhukori.chatterjee@gmail.com</t>
  </si>
  <si>
    <t>Kingshuk Ghosh</t>
  </si>
  <si>
    <t>kingshuk.ghosh405@gmail.com</t>
  </si>
  <si>
    <t>Sukrit Chawla</t>
  </si>
  <si>
    <t>sukrit.chawla@gmail.com</t>
  </si>
  <si>
    <t>Electrical &amp; Electronics (EE)</t>
  </si>
  <si>
    <t>Aditya Nair</t>
  </si>
  <si>
    <t>adityanair1904@gmail.com</t>
  </si>
  <si>
    <t>Sashreek Uyyala</t>
  </si>
  <si>
    <t>sashreek.uyyala@gmail.com</t>
  </si>
  <si>
    <t>Rachit Prakash</t>
  </si>
  <si>
    <t>rachitprakash101@gmail.com</t>
  </si>
  <si>
    <t>Nidhi Ashok</t>
  </si>
  <si>
    <t>nidhiashok2004@gmail.com</t>
  </si>
  <si>
    <t>Sanjana Bisht</t>
  </si>
  <si>
    <t>bishtsanjana1425@gmail.com</t>
  </si>
  <si>
    <t>Sai Bhavik Rayanki</t>
  </si>
  <si>
    <t>bhavik.rayanki@gmail.com</t>
  </si>
  <si>
    <t>Abhyudaya Singh</t>
  </si>
  <si>
    <t>abhyudayasingh2004@gmail.com</t>
  </si>
  <si>
    <t>Alakhchandra Ladha</t>
  </si>
  <si>
    <t>alakhladha@gmail.com</t>
  </si>
  <si>
    <t>Shubham Sawarn</t>
  </si>
  <si>
    <t>shubhamsawarn013@gmail.com</t>
  </si>
  <si>
    <t>Kashyap Pobari</t>
  </si>
  <si>
    <t>kashyappobari@gmail.com</t>
  </si>
  <si>
    <t>Nikhilesh Shashikumar</t>
  </si>
  <si>
    <t>nikhileshs19@gmail.com</t>
  </si>
  <si>
    <t>Aanya Shantaram</t>
  </si>
  <si>
    <t>aanya.shantaram@gmail.com</t>
  </si>
  <si>
    <t>Lionel Serrao</t>
  </si>
  <si>
    <t>lionelserrao1@gmail.com</t>
  </si>
  <si>
    <t>Mohith Charagondla</t>
  </si>
  <si>
    <t>mohith0108@gmail.com</t>
  </si>
  <si>
    <t>Namrata Raj</t>
  </si>
  <si>
    <t>namrataonweb@gmail.com</t>
  </si>
  <si>
    <t>Sankalp Katyayanan</t>
  </si>
  <si>
    <t>katyayanansankalp@gmail.com</t>
  </si>
  <si>
    <t>Prakhar Arya</t>
  </si>
  <si>
    <t>prakhararya13@gmail.com</t>
  </si>
  <si>
    <t>Yogesh Prashant Rane</t>
  </si>
  <si>
    <t>yogeshrane.contact@gmail.com</t>
  </si>
  <si>
    <t>Nishant Gunda</t>
  </si>
  <si>
    <t>nishant.vishwanath30@gmail.com</t>
  </si>
  <si>
    <t>David Jijo Nellissery</t>
  </si>
  <si>
    <t>thisisdavidjijo@gmail.com</t>
  </si>
  <si>
    <t>Ayush Jayesh Dharaskar</t>
  </si>
  <si>
    <t>ayushdharaskar@gmail.com</t>
  </si>
  <si>
    <t>Aishwarya Vaidya</t>
  </si>
  <si>
    <t>aishwaryavaidya24@gmail.com</t>
  </si>
  <si>
    <t>Shivarth Rai</t>
  </si>
  <si>
    <t>raishivarth@gmail.com</t>
  </si>
  <si>
    <t>Aryan Gupta</t>
  </si>
  <si>
    <t>iamaryan.ag@gmail.com</t>
  </si>
  <si>
    <t>Pendyala Gnana Sai</t>
  </si>
  <si>
    <t>pendyalagnanasai@gmail.com</t>
  </si>
  <si>
    <t>Unnati Dubey</t>
  </si>
  <si>
    <t>unnatiiidubey@gmail.com</t>
  </si>
  <si>
    <t>Lavanya Prabhu</t>
  </si>
  <si>
    <t>lavanya.prabhufour@gmail.com</t>
  </si>
  <si>
    <t>Diya Nair</t>
  </si>
  <si>
    <t>diyanaiir@gmail.com</t>
  </si>
  <si>
    <t>Anoushka Smriti</t>
  </si>
  <si>
    <t>anoushkasmriti20@gmail.com</t>
  </si>
  <si>
    <t>Shreya Sameer</t>
  </si>
  <si>
    <t>shreya.sameer04@gmail.com</t>
  </si>
  <si>
    <t>Vaibhavi Komarraju</t>
  </si>
  <si>
    <t>vaibhavi130613@gmail.com</t>
  </si>
  <si>
    <t>Cyber Physical Systems (CPS)</t>
  </si>
  <si>
    <t>Shriya Bhat</t>
  </si>
  <si>
    <t>bhatshriya20@gmail.com</t>
  </si>
  <si>
    <t>Aadhya Samineni</t>
  </si>
  <si>
    <t>s22.aadhya@gmail.com</t>
  </si>
  <si>
    <t>Prachi Bhat</t>
  </si>
  <si>
    <t>bhatprachi0910@gmail.com</t>
  </si>
  <si>
    <t>Reeva Nanda</t>
  </si>
  <si>
    <t>reevananda25@gmail.com</t>
  </si>
  <si>
    <t>Mihika Goyal</t>
  </si>
  <si>
    <t>notifymihika@gmail.com</t>
  </si>
  <si>
    <t>Manjyot Saini</t>
  </si>
  <si>
    <t>manjyotsaini1911@gmail.com</t>
  </si>
  <si>
    <t>Rishita Garg</t>
  </si>
  <si>
    <t>rishitagarg20@gmail.com</t>
  </si>
  <si>
    <t>Deeksha Prasad</t>
  </si>
  <si>
    <t>deekshaprasad17@gmail.com</t>
  </si>
  <si>
    <t>Svadha Dey</t>
  </si>
  <si>
    <t>svadhadey12@gmail.com</t>
  </si>
  <si>
    <t>Khushi Sethi</t>
  </si>
  <si>
    <t>khushisethi1101@gmail.com</t>
  </si>
  <si>
    <t>Arjun Wakade</t>
  </si>
  <si>
    <t>arjunwakade123@gmail.com</t>
  </si>
  <si>
    <t>Rohit Tomer</t>
  </si>
  <si>
    <t>rohittomar788@gmail.com</t>
  </si>
  <si>
    <t>Shobhit Bansal</t>
  </si>
  <si>
    <t>shobhit1509@gmail.com</t>
  </si>
  <si>
    <t>Arun Ramesh</t>
  </si>
  <si>
    <t>riolephill@gmail.com</t>
  </si>
  <si>
    <t>Bhargav Anand</t>
  </si>
  <si>
    <t>bhargav2003anand@gmail.com</t>
  </si>
  <si>
    <t>Aadishree Ralekar</t>
  </si>
  <si>
    <t>aadi.ralekar@gmail.com</t>
  </si>
  <si>
    <t>Anshika Aggarwal</t>
  </si>
  <si>
    <t>anshikaaggarwal.0504@gmail.com</t>
  </si>
  <si>
    <t>Pranav Sonawane</t>
  </si>
  <si>
    <t>pranavsonawane0804@gmail.com</t>
  </si>
  <si>
    <t>Durgesh Hegde</t>
  </si>
  <si>
    <t>durgeshegde29@gmail.com</t>
  </si>
  <si>
    <t>Samarth Mehra</t>
  </si>
  <si>
    <t>samarth9220@gmail.com</t>
  </si>
  <si>
    <t>Naman Chaubey</t>
  </si>
  <si>
    <t>namanchaubey31@gmail.com</t>
  </si>
  <si>
    <t>Mudit Gupta</t>
  </si>
  <si>
    <t>gupta101mudit@gmail.com</t>
  </si>
  <si>
    <t>Anish Singhal</t>
  </si>
  <si>
    <t>anishsinghal501@gmail.com</t>
  </si>
  <si>
    <t>Anjishnu Satpathy</t>
  </si>
  <si>
    <t>anjishnu.satpathy@gmail.com</t>
  </si>
  <si>
    <t>Bhanu Shashank Kuncham</t>
  </si>
  <si>
    <t>kunchambhanu9@gmail.com</t>
  </si>
  <si>
    <t>Atharv Mishra</t>
  </si>
  <si>
    <t>atharv.mishra4@gmail.com</t>
  </si>
  <si>
    <t>Tanuj Bajargan</t>
  </si>
  <si>
    <t>tanujprof@gmail.com</t>
  </si>
  <si>
    <t>Daksh Loiya</t>
  </si>
  <si>
    <t>study.emailid2022@gmail.com</t>
  </si>
  <si>
    <t>Vedansh Makharia</t>
  </si>
  <si>
    <t>vedanshmakharia@gmail.com</t>
  </si>
  <si>
    <t>Sharanya Anumula</t>
  </si>
  <si>
    <t>sharanya.a004@gmail.com</t>
  </si>
  <si>
    <t>Ripudaman Panwar</t>
  </si>
  <si>
    <t>ripudamanpanwar@gmail.com</t>
  </si>
  <si>
    <t>Shashank Bhat</t>
  </si>
  <si>
    <t>shashankbhat1804@gmail.com</t>
  </si>
  <si>
    <t>Niranjan Nambiar</t>
  </si>
  <si>
    <t>nirumavilayi@gmail.com</t>
  </si>
  <si>
    <t>Akshita Jain</t>
  </si>
  <si>
    <t>akshita.rj583@gmail.com</t>
  </si>
  <si>
    <t>Mitwa Saraf</t>
  </si>
  <si>
    <t>mitwa2004@gmail.com</t>
  </si>
  <si>
    <t>Aadithya Santhosh</t>
  </si>
  <si>
    <t>aadithyasanthosh2019@gmail.com</t>
  </si>
  <si>
    <t>Mohul Podder</t>
  </si>
  <si>
    <t>offpodder24@gmail.com</t>
  </si>
  <si>
    <t>Varun Kumar K</t>
  </si>
  <si>
    <t>varun.kumar.iyer@gmail.com</t>
  </si>
  <si>
    <t>Divyansh Goyal</t>
  </si>
  <si>
    <t>divyanshgoyal32@gmail.com</t>
  </si>
  <si>
    <t>Sai Rithvik Nama</t>
  </si>
  <si>
    <t>rithviksai03@gmail.com</t>
  </si>
  <si>
    <t>Yashya Garg</t>
  </si>
  <si>
    <t>gargyashya@gmail.com</t>
  </si>
  <si>
    <t>Supratik Dash</t>
  </si>
  <si>
    <t>supratikplac29@gmail.com</t>
  </si>
  <si>
    <t>Yashraj Somvanshi</t>
  </si>
  <si>
    <t>yashrajsomvanshi@gmail.com</t>
  </si>
  <si>
    <t>Tia Tejaswani Jha</t>
  </si>
  <si>
    <t>tia.tejaswani2003@gmail.com</t>
  </si>
  <si>
    <t>Meghdeep Roychoudhury</t>
  </si>
  <si>
    <t>meghdeep2004@gmail.com</t>
  </si>
  <si>
    <t>Ketan Goud Mogula</t>
  </si>
  <si>
    <t>ketangoud926@gmail.com</t>
  </si>
  <si>
    <t>Mustafa Haji</t>
  </si>
  <si>
    <t>mustafahaji210504@gmail.com</t>
  </si>
  <si>
    <t>Jewel Naga Satya Kruthi Penjarla</t>
  </si>
  <si>
    <t>kruthi.5336@gmail.com</t>
  </si>
  <si>
    <t>Keerthan C</t>
  </si>
  <si>
    <t>ckeerthankumar4@gmail.com</t>
  </si>
  <si>
    <t>Sagnik Sengupta</t>
  </si>
  <si>
    <t>sagnik.sengupta123@gmail.com</t>
  </si>
  <si>
    <t>Shaniaa Sen</t>
  </si>
  <si>
    <t>sen.shaniaa@gmail.com</t>
  </si>
  <si>
    <t>Aryan Jha</t>
  </si>
  <si>
    <t>aryanj1428@gmail.com</t>
  </si>
  <si>
    <t>Aparna Muppidi</t>
  </si>
  <si>
    <t>saiaparna.muppidi@gmail.com</t>
  </si>
  <si>
    <t>Anushree Mehta</t>
  </si>
  <si>
    <t>anushreemehta844@gmail.com</t>
  </si>
  <si>
    <t>Adel Dsouza</t>
  </si>
  <si>
    <t>adeldsouza8@gmail.com</t>
  </si>
  <si>
    <t>Tanmay Saxena</t>
  </si>
  <si>
    <t>tsaxena1203@gmail.com</t>
  </si>
  <si>
    <t>Arnav Jagia</t>
  </si>
  <si>
    <t>arnavjagia@gmail.com</t>
  </si>
  <si>
    <t>Akshay Reddy M V</t>
  </si>
  <si>
    <t>akshay.mvr@gmail.com</t>
  </si>
  <si>
    <t>Amit Anand</t>
  </si>
  <si>
    <t>amitanand0909@gmail.com</t>
  </si>
  <si>
    <t>Palak Agarwal</t>
  </si>
  <si>
    <t>palakagarwal570@gmail.com</t>
  </si>
  <si>
    <t>Kushagra Sharma</t>
  </si>
  <si>
    <t>kushusharma.sharma@gmail.com</t>
  </si>
  <si>
    <t>Mohal Sahai</t>
  </si>
  <si>
    <t>mohalsahai13@gmail.com</t>
  </si>
  <si>
    <t>GE Healthcare (HW)</t>
  </si>
  <si>
    <t>Padmanabhan Sriram</t>
  </si>
  <si>
    <t>psriram6127@gmail.com</t>
  </si>
  <si>
    <t>Gautham Nair</t>
  </si>
  <si>
    <t>gauthamdinilnair@gmail.com</t>
  </si>
  <si>
    <t>Aditya Panga</t>
  </si>
  <si>
    <t>adityapanga07@gmail.com</t>
  </si>
  <si>
    <t>GE Healthcare (SW)</t>
  </si>
  <si>
    <t>Prateek Mhatre</t>
  </si>
  <si>
    <t>prateekmhatre1911@gmail.com</t>
  </si>
  <si>
    <t>Avishkar Sonawane</t>
  </si>
  <si>
    <t>avishkar3015@gmail.com</t>
  </si>
  <si>
    <t>GE Healthcare (Embd)</t>
  </si>
  <si>
    <t>Srishti Singh</t>
  </si>
  <si>
    <t>kukrejaaryaman@gmail.com</t>
  </si>
  <si>
    <t>Aryaman Kukreja</t>
  </si>
  <si>
    <t>srishtisingh2708@gmail.com</t>
  </si>
  <si>
    <t>Aditya Sankar</t>
  </si>
  <si>
    <t>adityavsankar.1@gmail.com</t>
  </si>
  <si>
    <t>Janhavi Garg</t>
  </si>
  <si>
    <t>janhavigarg.2409@gmail.com</t>
  </si>
  <si>
    <t>Madhav Arora</t>
  </si>
  <si>
    <t>madhavarora408@gmail.com</t>
  </si>
  <si>
    <t>Pushkal Ojha</t>
  </si>
  <si>
    <t>pushkalojhapmpyon29.01.04@gmail.com</t>
  </si>
  <si>
    <t>Daksh Dayal</t>
  </si>
  <si>
    <t>dakshdayal2004@gmail.com</t>
  </si>
  <si>
    <t>Piyush Panigrahi</t>
  </si>
  <si>
    <t>pg.piyush18@gmail.com</t>
  </si>
  <si>
    <t>Ansh Sinha</t>
  </si>
  <si>
    <t>sinhaansh750@gmail.com</t>
  </si>
  <si>
    <t>Akshat Sharan</t>
  </si>
  <si>
    <t>akshat.sharan2004@gmail.com</t>
  </si>
  <si>
    <t>Yash Thadani</t>
  </si>
  <si>
    <t>yashthadani04@gmail.com</t>
  </si>
  <si>
    <t>Kajal Biju</t>
  </si>
  <si>
    <t>kajalkbiju25@gmail.com</t>
  </si>
  <si>
    <t>Roopanshi Juneja</t>
  </si>
  <si>
    <t>juneja.roopanshi@gmail.com</t>
  </si>
  <si>
    <t>Harsheen Kaur</t>
  </si>
  <si>
    <t>harsheenk423@gmail.com</t>
  </si>
  <si>
    <t>Deloitte (Pro 1)</t>
  </si>
  <si>
    <t>Sri Anshu Kantipudi</t>
  </si>
  <si>
    <t>anshukantipudi@gmail.com</t>
  </si>
  <si>
    <t>Prajwal C</t>
  </si>
  <si>
    <t>prajwal.mitmpl@gmail.com</t>
  </si>
  <si>
    <t>Venkat Shiva Koushik Muvva</t>
  </si>
  <si>
    <t>koushikm2711@gmail.com</t>
  </si>
  <si>
    <t>Ishika Jaiswal</t>
  </si>
  <si>
    <t>ishika20jan@gmail.com</t>
  </si>
  <si>
    <t>Adicherikandi Sidharth</t>
  </si>
  <si>
    <t>aksidharthm10@gmail.com</t>
  </si>
  <si>
    <t>Sarah Violla Correa</t>
  </si>
  <si>
    <t>sviolla2004@gmail.com</t>
  </si>
  <si>
    <t>Siddhant Mathur</t>
  </si>
  <si>
    <t>siddhantmathur.mit@gmail.com</t>
  </si>
  <si>
    <t>Yash Srivastava</t>
  </si>
  <si>
    <t>yashsrivastava1407@gmail.com</t>
  </si>
  <si>
    <t>Aadit Natekar</t>
  </si>
  <si>
    <t>aaditn2004@gmail.com</t>
  </si>
  <si>
    <t>Akhil Kumar</t>
  </si>
  <si>
    <t>a.khilll2312@gmail.com</t>
  </si>
  <si>
    <t>Satyanarayan Panigrahy</t>
  </si>
  <si>
    <t>panigrahy2003@gmail.com</t>
  </si>
  <si>
    <t>Arjun Khattry</t>
  </si>
  <si>
    <t>arjunkhattry242@gmail.com</t>
  </si>
  <si>
    <t>Sudibyo Sinha</t>
  </si>
  <si>
    <t>sudibyosinha.work@gmail.com</t>
  </si>
  <si>
    <t>Suyashi Singh</t>
  </si>
  <si>
    <t>suyashisinghh@gmail.com</t>
  </si>
  <si>
    <t>Akankshya Mohanty</t>
  </si>
  <si>
    <t>akankshya.mohanty11@gmail.com</t>
  </si>
  <si>
    <t>Ashutosh Somayaji</t>
  </si>
  <si>
    <t>ashutoshsomayaji1@gmail.com</t>
  </si>
  <si>
    <t>Siddhant Tata</t>
  </si>
  <si>
    <t>siddhanttata2@gmail.com</t>
  </si>
  <si>
    <t>Deloitte Capstone (Pro 1)</t>
  </si>
  <si>
    <t>Shruti Priya</t>
  </si>
  <si>
    <t>shruti.09priyaofficial@gmail.com</t>
  </si>
  <si>
    <t>Sriya Kirti Surampudi</t>
  </si>
  <si>
    <t>sriyakswara@gmail.com</t>
  </si>
  <si>
    <t>Omisha Guha</t>
  </si>
  <si>
    <t>omisha22g@gmail.com</t>
  </si>
  <si>
    <t>Aditya Mathur</t>
  </si>
  <si>
    <t>aditya.mathur5885@gmail.com</t>
  </si>
  <si>
    <t>Yashaswini Pinnaka</t>
  </si>
  <si>
    <t>pinnakayashaswini@gmail.com</t>
  </si>
  <si>
    <t>Nishant Verma</t>
  </si>
  <si>
    <t>nishant.verma1337@gmail.com</t>
  </si>
  <si>
    <t xml:space="preserve">Sahitya Kambhampati </t>
  </si>
  <si>
    <t>ksahityaqatar@gmail.com</t>
  </si>
  <si>
    <t>Aryaman Sharma</t>
  </si>
  <si>
    <t>aryaman2709sharma@gmail.com</t>
  </si>
  <si>
    <t>Sayam Jain</t>
  </si>
  <si>
    <t>sayam2003jain@gmail.com</t>
  </si>
  <si>
    <t>Mithil Mallya</t>
  </si>
  <si>
    <t>mithilmallya2731@gmail.com</t>
  </si>
  <si>
    <t>Srujana C Bhandary</t>
  </si>
  <si>
    <t>srujana.bhandary@gmail.com</t>
  </si>
  <si>
    <t>Pranav Kumar Gupta</t>
  </si>
  <si>
    <t>pkg3107@gmail.com</t>
  </si>
  <si>
    <t>Varun Vikyat Bonda</t>
  </si>
  <si>
    <t>varunvikyat2004@gmail.com</t>
  </si>
  <si>
    <t>Deloitte (Pro 2)</t>
  </si>
  <si>
    <t>Vedant Momaya</t>
  </si>
  <si>
    <t>vedant.momaya@gmail.com</t>
  </si>
  <si>
    <t>Shrestha Srivastav</t>
  </si>
  <si>
    <t>shresthax09@gmail.com</t>
  </si>
  <si>
    <t>Srishti Mondal</t>
  </si>
  <si>
    <t>srishti.mondal2003@gmail.com</t>
  </si>
  <si>
    <t xml:space="preserve">Deloitte India (Pro 3) </t>
  </si>
  <si>
    <t>Ayash Sheriff</t>
  </si>
  <si>
    <t>ayashsheriff@gmail.com</t>
  </si>
  <si>
    <t>Kartavya Antani</t>
  </si>
  <si>
    <t>antani.kartavya@gmail.com</t>
  </si>
  <si>
    <t>Oshoumya Verma</t>
  </si>
  <si>
    <t>oshoverma26@gmail.com</t>
  </si>
  <si>
    <t>Chirayu Nirmale</t>
  </si>
  <si>
    <t>chirayunirmale@gmail.com</t>
  </si>
  <si>
    <t>Ashesh Verma</t>
  </si>
  <si>
    <t>asheshverma9695@gmail.com</t>
  </si>
  <si>
    <t>Aadesh Kashyap</t>
  </si>
  <si>
    <t>aadeshka0704@gmail.com</t>
  </si>
  <si>
    <t>Hritik Rana</t>
  </si>
  <si>
    <t>hritikrana202@gmail.com</t>
  </si>
  <si>
    <t>Lakshanya G</t>
  </si>
  <si>
    <t>lakshanyashrig@gmail.com</t>
  </si>
  <si>
    <t>Madhav Kumar</t>
  </si>
  <si>
    <t>madhavkumar0211@gmail.com</t>
  </si>
  <si>
    <t>Atharva Zambare</t>
  </si>
  <si>
    <t>atharva.zambare04@gmail.com</t>
  </si>
  <si>
    <t>Shivaprasad P M</t>
  </si>
  <si>
    <t>shivaprasadpm0994@gmail.com</t>
  </si>
  <si>
    <t>Vatsal Siotia</t>
  </si>
  <si>
    <t>vatsalsiotia9@gmail.com</t>
  </si>
  <si>
    <t>Kshitij Jain</t>
  </si>
  <si>
    <t>kshitijjain616@gmail.com</t>
  </si>
  <si>
    <t>Industrial Engineering (IE)</t>
  </si>
  <si>
    <t>Archit Singh</t>
  </si>
  <si>
    <t>architsingh1406@gmail.com</t>
  </si>
  <si>
    <t>Vishesh Singh</t>
  </si>
  <si>
    <t>singhvishesh2004@gmail.com</t>
  </si>
  <si>
    <t>Ishan Shirole</t>
  </si>
  <si>
    <t>ishan.shirole@gmail.com</t>
  </si>
  <si>
    <t xml:space="preserve">Deloitte India (Pro 4) </t>
  </si>
  <si>
    <t>Vasu Goel</t>
  </si>
  <si>
    <t>vasugoel.2020@gmail.com</t>
  </si>
  <si>
    <t>Rajvardhan Singh</t>
  </si>
  <si>
    <t>singh.rajvardhan.it@gmail.com</t>
  </si>
  <si>
    <t>Aditi Kashyap</t>
  </si>
  <si>
    <t>aditi9kashyap123@gmail.com</t>
  </si>
  <si>
    <t>Raunak Mamak</t>
  </si>
  <si>
    <t>work.raunakmamak@gmail.com</t>
  </si>
  <si>
    <t>Nikhil Hurtis</t>
  </si>
  <si>
    <t>nikhurtis@gmail.com</t>
  </si>
  <si>
    <t>Soham Ghodke</t>
  </si>
  <si>
    <t>sohamg2k3@gmail.com</t>
  </si>
  <si>
    <t>Deloitte India (Pro 5)</t>
  </si>
  <si>
    <t>Soham Bose</t>
  </si>
  <si>
    <t>sohambose11scib@gmail.com</t>
  </si>
  <si>
    <t>Sakshi Arjun</t>
  </si>
  <si>
    <t>sakshi.arjun04imp@gmail.com</t>
  </si>
  <si>
    <t>Pratham Singh</t>
  </si>
  <si>
    <t>singhpratham892@gmail.com</t>
  </si>
  <si>
    <t>Sanskar Singh</t>
  </si>
  <si>
    <t>sanskar.singh127@gmail.com</t>
  </si>
  <si>
    <t>Darren Philip</t>
  </si>
  <si>
    <t>darrentonyphilip@gmail.com</t>
  </si>
  <si>
    <t>Yashaswini A</t>
  </si>
  <si>
    <t>yashaswiniurala3@gmail.com</t>
  </si>
  <si>
    <t>Arnav Aradhya</t>
  </si>
  <si>
    <t>arnavaradhya2004@gmail.com</t>
  </si>
  <si>
    <t>Daksh Shukla</t>
  </si>
  <si>
    <t>daksh1394@gmail.com</t>
  </si>
  <si>
    <t>Prashast Saxena</t>
  </si>
  <si>
    <t>prashast1509@gmail.com</t>
  </si>
  <si>
    <t>Pranav Phutane</t>
  </si>
  <si>
    <t>panu.phutane@gmail.com</t>
  </si>
  <si>
    <t>Deloitte India (Pro 6)</t>
  </si>
  <si>
    <t>Udita Gowdety</t>
  </si>
  <si>
    <t>uditagowdetyplacements@gmail.com</t>
  </si>
  <si>
    <t>Shreya Ghatage</t>
  </si>
  <si>
    <t>shreyaghatage0705@gmail.com</t>
  </si>
  <si>
    <t>Akshay Saxena</t>
  </si>
  <si>
    <t>akshaysxn1001@gmail.com</t>
  </si>
  <si>
    <t>Sarvesh Agarwal</t>
  </si>
  <si>
    <t>Asarvesh38@gmail.com</t>
  </si>
  <si>
    <t>Aaditya Sinha</t>
  </si>
  <si>
    <t>aadityasinha74.98@gmail.com</t>
  </si>
  <si>
    <t>Ishraj Singh Tuli</t>
  </si>
  <si>
    <t>istuli2906@gmail.com</t>
  </si>
  <si>
    <t>Dhruv Achar</t>
  </si>
  <si>
    <t>dhruv.achar2004@gmail.com</t>
  </si>
  <si>
    <t>Aadithya Ramesh</t>
  </si>
  <si>
    <t>aadithyarox04@gmail.com</t>
  </si>
  <si>
    <t>Ishita Bareja</t>
  </si>
  <si>
    <t>ishitabareja08@gmail.com</t>
  </si>
  <si>
    <t>Alok Kumar</t>
  </si>
  <si>
    <t>alokkumar16052003@gmail.com</t>
  </si>
  <si>
    <t>Deloitte India (Pro 7)</t>
  </si>
  <si>
    <t>Devanshu Pradhan</t>
  </si>
  <si>
    <t>devanshukp2003@gmail.com</t>
  </si>
  <si>
    <t>Aryan Banda</t>
  </si>
  <si>
    <t>aryanreddybanda@gmail.com</t>
  </si>
  <si>
    <t>Aryaman Jaiman</t>
  </si>
  <si>
    <t>aaryamanjaiman@gmail.com</t>
  </si>
  <si>
    <t>Siddharth Kaneria</t>
  </si>
  <si>
    <t>sidkan48@gmail.com</t>
  </si>
  <si>
    <t>Aniket Hazra</t>
  </si>
  <si>
    <t>aniket.22082003@gmail.com</t>
  </si>
  <si>
    <t>Chaitanya Kannan</t>
  </si>
  <si>
    <t>chaitanya.kannan@gmail.com</t>
  </si>
  <si>
    <t>Shravani Bhor</t>
  </si>
  <si>
    <t>shravanibhor3084@gmail.com</t>
  </si>
  <si>
    <t>U S Advaith Sharma</t>
  </si>
  <si>
    <t>sharmaadvaith7@gmail.com</t>
  </si>
  <si>
    <t>Keshav Agrawal</t>
  </si>
  <si>
    <t>keshavanjaniagrawal@gmail.com</t>
  </si>
  <si>
    <t>Sayantan Sett</t>
  </si>
  <si>
    <t>sayantancreator@gmail.com</t>
  </si>
  <si>
    <t>agrawalanirudh18@gmail.com</t>
  </si>
  <si>
    <t>Khushi Kothari</t>
  </si>
  <si>
    <t>khushik2446@gmail.com</t>
  </si>
  <si>
    <t>Prabhav Agarwal</t>
  </si>
  <si>
    <t>prabhavagarwal444@gmail.com</t>
  </si>
  <si>
    <t>Aseem Anand</t>
  </si>
  <si>
    <t>aseemxanand@gmail.com</t>
  </si>
  <si>
    <t>Shikhar Gupta</t>
  </si>
  <si>
    <t>shikhargupta2004@gmail.com</t>
  </si>
  <si>
    <t>Kirtan Hemantkumar Desai</t>
  </si>
  <si>
    <t>krtndesai2004@gmail.com</t>
  </si>
  <si>
    <t>Yash Rohan</t>
  </si>
  <si>
    <t>yashrohan001@gmail.com</t>
  </si>
  <si>
    <t>Gaury Jithesh</t>
  </si>
  <si>
    <t>gauryjithesh@gmail.com</t>
  </si>
  <si>
    <t>Saanvi Konde</t>
  </si>
  <si>
    <t>saanvikonde@gmail.com</t>
  </si>
  <si>
    <t>Arshpreet Kaur</t>
  </si>
  <si>
    <t>abhi.arsh99@gmail.com</t>
  </si>
  <si>
    <t>Ritika Doijode</t>
  </si>
  <si>
    <t>ritikadoijode@gmail.com</t>
  </si>
  <si>
    <t>Nandana Kamath</t>
  </si>
  <si>
    <t>nandana2004kamath@gmail.com</t>
  </si>
  <si>
    <t>Ayushmita Bhattacharya</t>
  </si>
  <si>
    <t>ayushmita.bhattacharya14@gmail.com</t>
  </si>
  <si>
    <t>Amogh Parasuram</t>
  </si>
  <si>
    <t>amoghram30@gmail.com</t>
  </si>
  <si>
    <t>Niharika Muraleedharan Nambiar</t>
  </si>
  <si>
    <t>niharikanambiar7@gmail.com</t>
  </si>
  <si>
    <t>Karrunya Rajan</t>
  </si>
  <si>
    <t>karrunyarajan44@gmail.com</t>
  </si>
  <si>
    <t>Kunal Bhardwaj</t>
  </si>
  <si>
    <t>Kunalbhardwaj2610@gmail.com</t>
  </si>
  <si>
    <t>Radhika Tewari</t>
  </si>
  <si>
    <t>radhh01@gmail.com</t>
  </si>
  <si>
    <t>Ayush Bhasin</t>
  </si>
  <si>
    <t>ayushbhasin200421@gmail.com</t>
  </si>
  <si>
    <t>Yagini Rautela</t>
  </si>
  <si>
    <t>yaginirautela10@gmail.com</t>
  </si>
  <si>
    <t>Vippagunta Vidhu Sri Varenya</t>
  </si>
  <si>
    <t>vsrivarenya@gmail.com</t>
  </si>
  <si>
    <t>Pratik Chakraborty</t>
  </si>
  <si>
    <t>pratikchakra18@gmail.com</t>
  </si>
  <si>
    <t>Apoorv Khemani</t>
  </si>
  <si>
    <t>apoorv.khemani@gmail.com</t>
  </si>
  <si>
    <t>Tarun Kasa</t>
  </si>
  <si>
    <t>t.kasa0040@gmail.com</t>
  </si>
  <si>
    <t>Gagan Menderkar</t>
  </si>
  <si>
    <t>gagan.kiran2004@gmail.com</t>
  </si>
  <si>
    <t>Aniruddh Ballal</t>
  </si>
  <si>
    <t>aniruddhballaldeeksha@gmail.com</t>
  </si>
  <si>
    <t>Pratham Sudheendra Moodbidri</t>
  </si>
  <si>
    <t>prathammoodbidri@gmail.com</t>
  </si>
  <si>
    <t>Kanaad Ghaisas</t>
  </si>
  <si>
    <t>kanaad.ghaisas140604@gmail.com</t>
  </si>
  <si>
    <t>Aryan Ranjan</t>
  </si>
  <si>
    <t>aryanranjan17@gmail.com</t>
  </si>
  <si>
    <t>TVS Motor</t>
  </si>
  <si>
    <t>Aneree Waghela</t>
  </si>
  <si>
    <t>aneree0608@gmail.com</t>
  </si>
  <si>
    <t>Nikunj Sharma</t>
  </si>
  <si>
    <t>sharmanikunj3903@gmail.com</t>
  </si>
  <si>
    <t>Mansi Sultania</t>
  </si>
  <si>
    <t>mansisultania7@gmail.com</t>
  </si>
  <si>
    <t>Spreeha Garg</t>
  </si>
  <si>
    <t>spreehagarg@gmail.com</t>
  </si>
  <si>
    <t>Rayaan Salem</t>
  </si>
  <si>
    <t>rayaanmohammad10@gmail.com</t>
  </si>
  <si>
    <t>Rishabh Singh</t>
  </si>
  <si>
    <t>singhrs36912@gmail.com</t>
  </si>
  <si>
    <t>Ishani Dey</t>
  </si>
  <si>
    <t>ishanidey493@gmail.com</t>
  </si>
  <si>
    <t>Mukund Agarwal</t>
  </si>
  <si>
    <t>mukundagarwal1307@gmail.com</t>
  </si>
  <si>
    <t>Annjoe Baby</t>
  </si>
  <si>
    <t>maryjoeann07018@gmail.com</t>
  </si>
  <si>
    <t>Soham Sadhukhan</t>
  </si>
  <si>
    <t>soham0542@gmail.com</t>
  </si>
  <si>
    <t>Biotechnology (BT)</t>
  </si>
  <si>
    <t>Eshin Ahuja</t>
  </si>
  <si>
    <t>eshin72004@gmail.com</t>
  </si>
  <si>
    <t>Gaurav Gupta</t>
  </si>
  <si>
    <t>gauravssa08@gmail.com</t>
  </si>
  <si>
    <t>Chakradhar Reddy Muddasani</t>
  </si>
  <si>
    <t>chakrireddy1232005@gmail.com</t>
  </si>
  <si>
    <t>Sarvagya Singh</t>
  </si>
  <si>
    <t>sarvagyasingh28@gmail.com</t>
  </si>
  <si>
    <t>Abhijith Pai</t>
  </si>
  <si>
    <t>abhijith.pai04@gmail.com</t>
  </si>
  <si>
    <t>Sumanth Oruganti</t>
  </si>
  <si>
    <t>sumanth.oru777@gmail.com</t>
  </si>
  <si>
    <t>Spandana Guruvugari</t>
  </si>
  <si>
    <t>guruvugari.spandana@gmail.com</t>
  </si>
  <si>
    <t>Sankalp Heda</t>
  </si>
  <si>
    <t>sankalpheda2114@gmail.com</t>
  </si>
  <si>
    <t>Aditya Thakur</t>
  </si>
  <si>
    <t>aditya.c.thakur4@gmail.com</t>
  </si>
  <si>
    <t>Samarth Madhivanan</t>
  </si>
  <si>
    <t>samarthm04edu@gmail.com</t>
  </si>
  <si>
    <t>Kabir Som</t>
  </si>
  <si>
    <t>kabirsom0709@gmail.com</t>
  </si>
  <si>
    <t>Sarthak Landge</t>
  </si>
  <si>
    <t>sarthaklandge0@gmail.com</t>
  </si>
  <si>
    <t>Madhav Visvanathan</t>
  </si>
  <si>
    <t>madhav.visvanathan@gmail.com</t>
  </si>
  <si>
    <t>Preetham Santhosh</t>
  </si>
  <si>
    <t>preethamsan0824@gmail.com</t>
  </si>
  <si>
    <t>Siyan Thomas</t>
  </si>
  <si>
    <t>siyanbijuthomas@gmail.com</t>
  </si>
  <si>
    <t>Ayush Prabhu</t>
  </si>
  <si>
    <t>ayushprabhu20@gmail.com</t>
  </si>
  <si>
    <t>Aryan Singh</t>
  </si>
  <si>
    <t>aryansinghbajaj18@gmail.com</t>
  </si>
  <si>
    <t>Souvik Goswami</t>
  </si>
  <si>
    <t>contact.email.souvik@gmail.com</t>
  </si>
  <si>
    <t>Ayush Sinha</t>
  </si>
  <si>
    <t>anamikaayush2003@gmail.com</t>
  </si>
  <si>
    <t>Neeraj Kumar</t>
  </si>
  <si>
    <t>neerajkumar300604@gmail.com</t>
  </si>
  <si>
    <t>J Anish Babu</t>
  </si>
  <si>
    <t>anishbabu0103@gmail.com</t>
  </si>
  <si>
    <t>Ashwin Shetty</t>
  </si>
  <si>
    <t>ashwinshetty549@gmail.com</t>
  </si>
  <si>
    <t>Lian Lopes</t>
  </si>
  <si>
    <t>lianlopes2122004@gmail.com</t>
  </si>
  <si>
    <t>Ridhwan Shameem</t>
  </si>
  <si>
    <t>ridhwanvs04@gmail.com</t>
  </si>
  <si>
    <t>Nishant Isloor</t>
  </si>
  <si>
    <t>nishantaisloor@gmail.com</t>
  </si>
  <si>
    <t>Archit Agarwal</t>
  </si>
  <si>
    <t>architagarwal07342@gmail.com</t>
  </si>
  <si>
    <t>Srirama V</t>
  </si>
  <si>
    <t>sriramavate@gmail.com</t>
  </si>
  <si>
    <t>Shreeya Mohanty</t>
  </si>
  <si>
    <t>shreeyamo123@gmail.com</t>
  </si>
  <si>
    <t>Harsh Agarwal</t>
  </si>
  <si>
    <t>agarwalharsh2947@gmail.com</t>
  </si>
  <si>
    <t>Bharath Kumar</t>
  </si>
  <si>
    <t>bharath.kumar3130@gmail.com</t>
  </si>
  <si>
    <t>Dhimanth Singh</t>
  </si>
  <si>
    <t>dhimanthsinghk@gmail.com</t>
  </si>
  <si>
    <t>Kunal Surtani</t>
  </si>
  <si>
    <t>surtani.kunal@gmail.com</t>
  </si>
  <si>
    <t>Amey Mandar Joshi</t>
  </si>
  <si>
    <t>amey.joshi2005@gmail.com</t>
  </si>
  <si>
    <t>Ronit Kochar</t>
  </si>
  <si>
    <t>ronitkochar2001@gmail.com</t>
  </si>
  <si>
    <t>Madhur Rao</t>
  </si>
  <si>
    <t>suresh.madhurrao@gmail.com</t>
  </si>
  <si>
    <t>Siddhartha M H</t>
  </si>
  <si>
    <t>siddharthamh04@gmail.com</t>
  </si>
  <si>
    <t>Dasi Yashasvi</t>
  </si>
  <si>
    <t>yashasvidasi@gmail.com</t>
  </si>
  <si>
    <t>Mehul Garg</t>
  </si>
  <si>
    <t>mehul160305@gmail.com</t>
  </si>
  <si>
    <t>Gandhi Avadh</t>
  </si>
  <si>
    <t>gandhiavadh2004@gmail.com</t>
  </si>
  <si>
    <t>Nishit Kashyap</t>
  </si>
  <si>
    <t>nishitkashyap15@gmail.com</t>
  </si>
  <si>
    <t>Kevin Cyriac Joseph</t>
  </si>
  <si>
    <t>kevcj18@gmail.com</t>
  </si>
  <si>
    <t>Aryaman Gupta</t>
  </si>
  <si>
    <t>aryamangupta004@gmail.com</t>
  </si>
  <si>
    <t>Tredence (DS)</t>
  </si>
  <si>
    <t>Varun Prabhu</t>
  </si>
  <si>
    <t>varunp176@gmail.com</t>
  </si>
  <si>
    <t>Arnav Nakman</t>
  </si>
  <si>
    <t>arnav.nakman@gmail.com</t>
  </si>
  <si>
    <t>Aaryan Madhu</t>
  </si>
  <si>
    <t>aaryanmadhu2107@gmail.com</t>
  </si>
  <si>
    <t>Tredence (DA)</t>
  </si>
  <si>
    <t>Venkat Dhanush Chillagattu</t>
  </si>
  <si>
    <t>cvenkat.dhanush@gmail.com</t>
  </si>
  <si>
    <t>Adhikshit Srivastava</t>
  </si>
  <si>
    <t>adhikshitsss@gmail.com</t>
  </si>
  <si>
    <t>Bhavesh Gupta</t>
  </si>
  <si>
    <t>guptaarjun652@gmail.com</t>
  </si>
  <si>
    <t>Aryan Arora</t>
  </si>
  <si>
    <t>aryanarora3011@gmail.com</t>
  </si>
  <si>
    <t>Simnovus Technology</t>
  </si>
  <si>
    <t>Ansh Srivastava</t>
  </si>
  <si>
    <t>anshsrivastava2004@gmail.com</t>
  </si>
  <si>
    <t>Bradley Glasfurd</t>
  </si>
  <si>
    <t>bradley.glasfurd@gmail.com</t>
  </si>
  <si>
    <t>Harshit Dugar</t>
  </si>
  <si>
    <t>dugar.harshit@gmail.com</t>
  </si>
  <si>
    <t>Siddharth Reddy Gangireddy</t>
  </si>
  <si>
    <t>siddharthreddyg04@gmail.com</t>
  </si>
  <si>
    <t>Adithi Shetty N</t>
  </si>
  <si>
    <t>adithishetty752@gmail.com</t>
  </si>
  <si>
    <t>Gowrish Mallya</t>
  </si>
  <si>
    <t>gowrish.mallya15@gmail.com</t>
  </si>
  <si>
    <t>Ranjith G Rao</t>
  </si>
  <si>
    <t>graoranjith@gmail.com</t>
  </si>
  <si>
    <t>Sri Manikanth Martha</t>
  </si>
  <si>
    <t>manikanth.placement@gmail.com</t>
  </si>
  <si>
    <t>Adi Mukherjee</t>
  </si>
  <si>
    <t>adimukherjee846@gmail.com</t>
  </si>
  <si>
    <t>Udai Pratap  Singh</t>
  </si>
  <si>
    <t>udaipsingh05@gmail.com</t>
  </si>
  <si>
    <t>Shivam Singh</t>
  </si>
  <si>
    <t>ucannotdefeattesla@gmail.com</t>
  </si>
  <si>
    <t>Anshuman Anshuman</t>
  </si>
  <si>
    <t>anshuwont@gmail.com</t>
  </si>
  <si>
    <t>Parshwa Jain</t>
  </si>
  <si>
    <t>jain.parshwak@gmail.com</t>
  </si>
  <si>
    <t>Parth Prasun</t>
  </si>
  <si>
    <t>parthprasun7203@gmail.com</t>
  </si>
  <si>
    <t>Nayavanth Yogi</t>
  </si>
  <si>
    <t>nayavanthy@gmail.com</t>
  </si>
  <si>
    <t>Fahad Shahab</t>
  </si>
  <si>
    <t>fahadbokaro@gmail.com</t>
  </si>
  <si>
    <t>Sahil Arya</t>
  </si>
  <si>
    <t>sahilent4@gmail.com</t>
  </si>
  <si>
    <t>Armaan Kapur</t>
  </si>
  <si>
    <t>armaankapur56@gmail.com</t>
  </si>
  <si>
    <t>Krish Panchal</t>
  </si>
  <si>
    <t>krishpanchal1114@gmail.com</t>
  </si>
  <si>
    <t>Anirudh Bajaj</t>
  </si>
  <si>
    <t>anirudhbajaj05@gmail.com</t>
  </si>
  <si>
    <t>Disha Jain</t>
  </si>
  <si>
    <t>dishajain1802@gmail.com</t>
  </si>
  <si>
    <t>Kartik Subbaram</t>
  </si>
  <si>
    <t>kartiksubbaram18@gmail.com</t>
  </si>
  <si>
    <t>Arham Dugar</t>
  </si>
  <si>
    <t>arhamdugar13@gmail.com</t>
  </si>
  <si>
    <t>Aravind Shenoy</t>
  </si>
  <si>
    <t>aravindshenoywork@gmail.com</t>
  </si>
  <si>
    <t>Neha Nair</t>
  </si>
  <si>
    <t>nehanair1711@gmail.com</t>
  </si>
  <si>
    <t>Kshitij Paliya</t>
  </si>
  <si>
    <t>kshitij.paliya1@gmail.com</t>
  </si>
  <si>
    <t>Neil J George</t>
  </si>
  <si>
    <t>neilgeorge1509@gmail.com</t>
  </si>
  <si>
    <t>Kritika Sinha</t>
  </si>
  <si>
    <t>kritika.bengaluru@gmail.com</t>
  </si>
  <si>
    <t>Mrunal Kulkarni</t>
  </si>
  <si>
    <t>kmrunal987@gmail.com</t>
  </si>
  <si>
    <t>Jessica Gonsalves</t>
  </si>
  <si>
    <t>jessicamanipal504@gmail.com</t>
  </si>
  <si>
    <t>Abhimanyu Chouhan</t>
  </si>
  <si>
    <t>abhimanyusinghc6@gmail.com</t>
  </si>
  <si>
    <t>IDFC First bank</t>
  </si>
  <si>
    <t>Harsh Shah</t>
  </si>
  <si>
    <t>harshshah0070@gmail.com</t>
  </si>
  <si>
    <t>Sparsh Mishra</t>
  </si>
  <si>
    <t>sparshm420@gmail.com</t>
  </si>
  <si>
    <t>Lavitra Srivastava</t>
  </si>
  <si>
    <t>srivastava.lavitra@gmail.com</t>
  </si>
  <si>
    <t>Lokesh Sagi</t>
  </si>
  <si>
    <t>lokesh.personal28@gmail.com</t>
  </si>
  <si>
    <t>Adhiy Harris</t>
  </si>
  <si>
    <t>adhiy839@gmail.com</t>
  </si>
  <si>
    <t>Automobile (AU)</t>
  </si>
  <si>
    <t>Ananya Raulkar</t>
  </si>
  <si>
    <t>ananya.raulkar@gmail.com</t>
  </si>
  <si>
    <t>Sindhu .</t>
  </si>
  <si>
    <t>sindhuvittal111@gmail.com</t>
  </si>
  <si>
    <t>Siddhartha Chhauda</t>
  </si>
  <si>
    <t>siddhartha7799chhauda@gmail.com</t>
  </si>
  <si>
    <t>Anup Pai B</t>
  </si>
  <si>
    <t>anupspaibasthi@gmail.com</t>
  </si>
  <si>
    <t>Ammapuram Sri Harsha</t>
  </si>
  <si>
    <t>asriharsha250305@gmail.com</t>
  </si>
  <si>
    <t>Pallavi Kailas</t>
  </si>
  <si>
    <t>kailaspallavi464@gmail.com</t>
  </si>
  <si>
    <t>Piyush Rangdal</t>
  </si>
  <si>
    <t>piyushrangdaljobs@gmail.com</t>
  </si>
  <si>
    <t>Akshat Jindal</t>
  </si>
  <si>
    <t>veerat1504@gmail.com</t>
  </si>
  <si>
    <t>Vedanth Goenka</t>
  </si>
  <si>
    <t>vedanth1008@gmail.com</t>
  </si>
  <si>
    <t>Joy Chaudhary</t>
  </si>
  <si>
    <t>joychaudhary004@gmail.com</t>
  </si>
  <si>
    <t>Kartik Goklani</t>
  </si>
  <si>
    <t>kartik.goklani@gmail.com</t>
  </si>
  <si>
    <t>Rohan Khandelwal</t>
  </si>
  <si>
    <t>rohan.k02@outlook.com</t>
  </si>
  <si>
    <t>Uday Sharma</t>
  </si>
  <si>
    <t>suday3553@gmail.com</t>
  </si>
  <si>
    <t>Venkata Siva Sai Jatvish Yechuri</t>
  </si>
  <si>
    <t>jatvishy@gmail.com</t>
  </si>
  <si>
    <t>Sai Charan Sanganwar</t>
  </si>
  <si>
    <t>ssaicharan2212@gmail.com</t>
  </si>
  <si>
    <t>Nitant Vaidya</t>
  </si>
  <si>
    <t>for.nmv@gmail.com</t>
  </si>
  <si>
    <t>Shreyas C S</t>
  </si>
  <si>
    <t>csshreyas22@gmail.com</t>
  </si>
  <si>
    <t>Gaurav Nayak H</t>
  </si>
  <si>
    <t>gauravnayak2004@gmail.com</t>
  </si>
  <si>
    <t>Aarav Shirvoikar</t>
  </si>
  <si>
    <t>aaravshirvoikar685@gmail.com</t>
  </si>
  <si>
    <t>Sathwik Bhandarkar</t>
  </si>
  <si>
    <t>sathwikb004@gmail.com</t>
  </si>
  <si>
    <t>Nakul Gupta</t>
  </si>
  <si>
    <t>nakulgupta0023@gmail.com</t>
  </si>
  <si>
    <t>Agrim Thukral</t>
  </si>
  <si>
    <t>thukralagrim@gmail.com</t>
  </si>
  <si>
    <t>Rahul Kashyap</t>
  </si>
  <si>
    <t>rahulgpkashyap16@gmail.com</t>
  </si>
  <si>
    <t>Archit Doshi</t>
  </si>
  <si>
    <t>doshiarchit2004@gmail.com</t>
  </si>
  <si>
    <t>Neev Kapadia</t>
  </si>
  <si>
    <t>neevkapadia77@gmail.com</t>
  </si>
  <si>
    <t>Harshit Sahu</t>
  </si>
  <si>
    <t>harshit65294@gmail.com</t>
  </si>
  <si>
    <t>Lakshay Mishra</t>
  </si>
  <si>
    <t>lakshay13mishra@gmail.com</t>
  </si>
  <si>
    <t>Siddharth Huddar</t>
  </si>
  <si>
    <t>sid.huddar@gmail.com</t>
  </si>
  <si>
    <t>Ishaan Saigal</t>
  </si>
  <si>
    <t>saigal.ishaan@gmail.com</t>
  </si>
  <si>
    <t>Mehul Pandey</t>
  </si>
  <si>
    <t>p.mehul1665@gmail.com</t>
  </si>
  <si>
    <t>Natasha Gonsalves</t>
  </si>
  <si>
    <t>natashagonsalves0418@gmail.com</t>
  </si>
  <si>
    <t>Barani Ilango Balan</t>
  </si>
  <si>
    <t>ilangobarani2004@gmail.com</t>
  </si>
  <si>
    <t>Akshay Gopathi</t>
  </si>
  <si>
    <t>akshay62819@gmail.com</t>
  </si>
  <si>
    <t>Vaishnav Dogra</t>
  </si>
  <si>
    <t>vaishnavdogra03@gmail.com</t>
  </si>
  <si>
    <t>Advait Udas</t>
  </si>
  <si>
    <t>advait963@gmail.com</t>
  </si>
  <si>
    <t>Shishir R</t>
  </si>
  <si>
    <t>shishirr125@gmail.com</t>
  </si>
  <si>
    <t>Anushka Pandey</t>
  </si>
  <si>
    <t>anushkapandey049@gmail.com</t>
  </si>
  <si>
    <t>Saral Gupta</t>
  </si>
  <si>
    <t>gptsaral2004@gmail.com</t>
  </si>
  <si>
    <t>Abhipsha Das</t>
  </si>
  <si>
    <t>abhipshadas2004@gmail.com</t>
  </si>
  <si>
    <t>Aayush Mohan</t>
  </si>
  <si>
    <t>aayushmohan004@gmail.com</t>
  </si>
  <si>
    <t>Kartikey Pandey</t>
  </si>
  <si>
    <t>pandeykartikey88@gmail.com</t>
  </si>
  <si>
    <t>Anshika Gaba</t>
  </si>
  <si>
    <t>anshikagaba16@gmail.com</t>
  </si>
  <si>
    <t>Pranav Pradeep</t>
  </si>
  <si>
    <t>pranavp0024@gmail.com</t>
  </si>
  <si>
    <t>Sakshath Shetty</t>
  </si>
  <si>
    <t>sakshath38@gmail.com</t>
  </si>
  <si>
    <t>Mrinal Chauhan</t>
  </si>
  <si>
    <t>mrinalschauhan@gmail.com</t>
  </si>
  <si>
    <t>Ansh Patil</t>
  </si>
  <si>
    <t>ansh27patil@gmail.com</t>
  </si>
  <si>
    <t>Nirbhay Gupta</t>
  </si>
  <si>
    <t>nirbhaygupta1703@gmail.com</t>
  </si>
  <si>
    <t>Darshan Nakshatri</t>
  </si>
  <si>
    <t>darshannakshatri@gmail.com</t>
  </si>
  <si>
    <t>Daivik Gokhale</t>
  </si>
  <si>
    <t>daiviksg9@gmail.com</t>
  </si>
  <si>
    <t>Sayan Dutta</t>
  </si>
  <si>
    <t>sayandutta0405@gmail.com</t>
  </si>
  <si>
    <t>Sesha Sai Aditya Kumar Tripuramallu</t>
  </si>
  <si>
    <t>saiaditya2601@gmail.com</t>
  </si>
  <si>
    <t>Vansshi Joshiee</t>
  </si>
  <si>
    <t>vansshijoshiee@gmail.com</t>
  </si>
  <si>
    <t>Nandana Nair</t>
  </si>
  <si>
    <t>nair.nandanaa@gmail.com</t>
  </si>
  <si>
    <t>Aryan Gati</t>
  </si>
  <si>
    <t>aryangati@gmail.com</t>
  </si>
  <si>
    <t>Pranay Agarwal</t>
  </si>
  <si>
    <t>montukittu05@gmail.com</t>
  </si>
  <si>
    <t>Joel Alex Chandy</t>
  </si>
  <si>
    <t>joelalex596@gmail.com</t>
  </si>
  <si>
    <t>Santusti Gour</t>
  </si>
  <si>
    <t>santusti.3114@gmail.com</t>
  </si>
  <si>
    <t>Utkarsh Sen</t>
  </si>
  <si>
    <t>senutkarsh04@gmail.com</t>
  </si>
  <si>
    <t>Dhruva Koneru</t>
  </si>
  <si>
    <t>dhruvakoneru2003@gmail.com</t>
  </si>
  <si>
    <t>Aditya Kamal</t>
  </si>
  <si>
    <t>2004.adityakamal@gmail.com</t>
  </si>
  <si>
    <t>Krishna Chidrawar</t>
  </si>
  <si>
    <t>krishna.chidrawar7@gmail.com</t>
  </si>
  <si>
    <t>Aman Abhyankar</t>
  </si>
  <si>
    <t>aman.neeraj.abhyankar29@gmail.com</t>
  </si>
  <si>
    <t>Sanat Dhake</t>
  </si>
  <si>
    <t>sanatpdhake@gmail.com</t>
  </si>
  <si>
    <t>Tinu Saini</t>
  </si>
  <si>
    <t>sainitinu620@gmail.com</t>
  </si>
  <si>
    <t>Pragadeeshwar Kannan</t>
  </si>
  <si>
    <t>pragadeeshwar.kannan@gmail.com</t>
  </si>
  <si>
    <t>Pranamya Kulal</t>
  </si>
  <si>
    <t>pranamyak26@gmail.com</t>
  </si>
  <si>
    <t>Harshit Singhal</t>
  </si>
  <si>
    <t>singhalharshit5691@gmail.com</t>
  </si>
  <si>
    <t>Omkar Prabhu</t>
  </si>
  <si>
    <t>prabhuomkar27@gmail.com</t>
  </si>
  <si>
    <t>Jayan Paliwal</t>
  </si>
  <si>
    <t>jayan110105@gmail.com</t>
  </si>
  <si>
    <t>Anuj Kamath</t>
  </si>
  <si>
    <t>anujkamath1@gmail.com</t>
  </si>
  <si>
    <t>Hafeez Mohammed</t>
  </si>
  <si>
    <t>hafm919@gmail.com</t>
  </si>
  <si>
    <t>Mandar Chaudhari</t>
  </si>
  <si>
    <t>mandar05chaudhari@gmail.com</t>
  </si>
  <si>
    <t>Anirudh Swaminathan</t>
  </si>
  <si>
    <t>aniswam@gmail.com</t>
  </si>
  <si>
    <t>Ritika Gupta</t>
  </si>
  <si>
    <t>ritikagupta.3k@gmail.com</t>
  </si>
  <si>
    <t>Santhosh Prabhu</t>
  </si>
  <si>
    <t>santhoshprabhu1019@gmail.com</t>
  </si>
  <si>
    <t>Shivam Bansal</t>
  </si>
  <si>
    <t>shivambansal4909@gmail.com</t>
  </si>
  <si>
    <t>Arnav Chugh</t>
  </si>
  <si>
    <t>arnav.chugh02@gmail.com</t>
  </si>
  <si>
    <t>Yash Bharadwaj</t>
  </si>
  <si>
    <t>bharadwajj131@gmail.com</t>
  </si>
  <si>
    <t>Tanmay Tambekar</t>
  </si>
  <si>
    <t>tambekartanmay2004@gmail.com</t>
  </si>
  <si>
    <t>Harshit Garg</t>
  </si>
  <si>
    <t>harshit830261@gmail.com</t>
  </si>
  <si>
    <t>Mohammed Zubair</t>
  </si>
  <si>
    <t>zubair3ngm@gmail.com</t>
  </si>
  <si>
    <t>Anish Kumar</t>
  </si>
  <si>
    <t>kumaranish0904@gmail.com</t>
  </si>
  <si>
    <t>Chithrinesh C V</t>
  </si>
  <si>
    <t>chithru28cv@gmail.com</t>
  </si>
  <si>
    <t>Meet Kansara</t>
  </si>
  <si>
    <t>kmeet1711@gmail.com</t>
  </si>
  <si>
    <t>Harshita Damani</t>
  </si>
  <si>
    <t>harshitadamani23@gmail.com</t>
  </si>
  <si>
    <t>Mohammed Sahil Nakhuda</t>
  </si>
  <si>
    <t>worksahil53@gmail.com</t>
  </si>
  <si>
    <t>Prajval M V</t>
  </si>
  <si>
    <t>prajvalmv.04@gmail.com</t>
  </si>
  <si>
    <t>Ishan Suhas Deshmukh</t>
  </si>
  <si>
    <t>ishanmechatronics@gmail.com</t>
  </si>
  <si>
    <t>Vivek Kheni</t>
  </si>
  <si>
    <t>vivekupendrakheni@gmail.com</t>
  </si>
  <si>
    <t>Vrishin Lakra</t>
  </si>
  <si>
    <t>vrishinlakra2003@gmail.com</t>
  </si>
  <si>
    <t>Gautham Pramodh</t>
  </si>
  <si>
    <t>gauthampramodh07@gmail.com</t>
  </si>
  <si>
    <t>Vaibhav Sharma</t>
  </si>
  <si>
    <t>sharmavaibhav0725@gmail.com</t>
  </si>
  <si>
    <t>Het Ambaliya</t>
  </si>
  <si>
    <t>het.ambaliya4622@gmail.com</t>
  </si>
  <si>
    <t>Peehu Yadav</t>
  </si>
  <si>
    <t>peehuyadavv1@gmail.com</t>
  </si>
  <si>
    <t>Aryan Pawar</t>
  </si>
  <si>
    <t>aryanypawar234@gmail.com</t>
  </si>
  <si>
    <t>Animesh Patil</t>
  </si>
  <si>
    <t>animeshmanikpatil@gmail.com</t>
  </si>
  <si>
    <t>Rigved Jangam</t>
  </si>
  <si>
    <t>ved1.riaj@gmail.com</t>
  </si>
  <si>
    <t>Sohan Y</t>
  </si>
  <si>
    <t>sohan125ky@gmail.com</t>
  </si>
  <si>
    <t>Anurag Pradhan</t>
  </si>
  <si>
    <t>pradhananurag456@gmail.com</t>
  </si>
  <si>
    <t>Karthikeyan J</t>
  </si>
  <si>
    <t>jkarthikeyan.email@gmail.com</t>
  </si>
  <si>
    <t>Akshat Prabhat</t>
  </si>
  <si>
    <t>akshat.p.prabhat@gmail.com</t>
  </si>
  <si>
    <t>Sarthak Agrawal</t>
  </si>
  <si>
    <t>sarthakagrawal2501@gmail.com</t>
  </si>
  <si>
    <t>Naga Satya Sai Harini Satya Gajjarapu</t>
  </si>
  <si>
    <t>saiharinig24@gmail.com</t>
  </si>
  <si>
    <t>Tata Advanced Systems</t>
  </si>
  <si>
    <t>Venkatesh Muralikrishnan</t>
  </si>
  <si>
    <t>venkateshmuralikrishnan17@gmail.com</t>
  </si>
  <si>
    <t>Neel Nitin Jain</t>
  </si>
  <si>
    <t>neeljain137@gmail.com</t>
  </si>
  <si>
    <t>Nazine Rose</t>
  </si>
  <si>
    <t>nazinerose25@gmail.com</t>
  </si>
  <si>
    <t>Ujwal Rajeevan</t>
  </si>
  <si>
    <t>ujwalrajeevan@gmail.com</t>
  </si>
  <si>
    <t>Ginnel Quadras</t>
  </si>
  <si>
    <t>ginnelquadras21@gmail.com</t>
  </si>
  <si>
    <t>Kirtan Somani</t>
  </si>
  <si>
    <t>somanikirtan52@gmail.com</t>
  </si>
  <si>
    <t>Prakhar Gupta</t>
  </si>
  <si>
    <t>prakharg2004@gmail.com</t>
  </si>
  <si>
    <t>Shantnav Sood</t>
  </si>
  <si>
    <t>shantnavsood26@gmail.com</t>
  </si>
  <si>
    <t>Siddharth Penugonda</t>
  </si>
  <si>
    <t>penugondasiddharth@gmail.com</t>
  </si>
  <si>
    <t>Somen Savarn</t>
  </si>
  <si>
    <t>somensavarn42@gmail.com</t>
  </si>
  <si>
    <t>Aayush Sharma</t>
  </si>
  <si>
    <t>Aayusharma2004@gmail.com</t>
  </si>
  <si>
    <t>Adivya Tripathi</t>
  </si>
  <si>
    <t>adivyatripathi93@gmail.com</t>
  </si>
  <si>
    <t>Aditya Kalme</t>
  </si>
  <si>
    <t>yashhkalme7@gmail.com</t>
  </si>
  <si>
    <t>Laksh Paprunia</t>
  </si>
  <si>
    <t>lakshpap@gmail.com</t>
  </si>
  <si>
    <t>Pranav Akella</t>
  </si>
  <si>
    <t>pranav123panna@gmail.com</t>
  </si>
  <si>
    <t>Vibhas Srivastava</t>
  </si>
  <si>
    <t>vibhas2004@gmail.com</t>
  </si>
  <si>
    <t>Jishnu Vutukuru</t>
  </si>
  <si>
    <t>jishnukunal@gmail.com</t>
  </si>
  <si>
    <t>Advitya Aggarwal</t>
  </si>
  <si>
    <t>advitya2003@gmail.com</t>
  </si>
  <si>
    <t>PWC AC</t>
  </si>
  <si>
    <t xml:space="preserve">Pasumarty Meher Jahnavi </t>
  </si>
  <si>
    <t>meherpk17@gmail.com</t>
  </si>
  <si>
    <t>Akshaya Ashok</t>
  </si>
  <si>
    <t>akshaya.sannasi@gmail.com</t>
  </si>
  <si>
    <t>Biomedical (BM)</t>
  </si>
  <si>
    <t>Harmantaj Bhatia</t>
  </si>
  <si>
    <t>harmantaj123@gmail.com</t>
  </si>
  <si>
    <t>Dakshaneshvar Porko Mariappan Thopan Senthiappan Mariappan Nagalingam</t>
  </si>
  <si>
    <t>dakshaneshvar@gmail.com</t>
  </si>
  <si>
    <t>Saatvik Raj</t>
  </si>
  <si>
    <t>saatvik4321raj@gmail.com</t>
  </si>
  <si>
    <t>Adit Kanchan</t>
  </si>
  <si>
    <t>aditkanchan30802@gmail.com</t>
  </si>
  <si>
    <t>Civil (CV)</t>
  </si>
  <si>
    <t>Derin Biju</t>
  </si>
  <si>
    <t>derinbiju325@gmail.com</t>
  </si>
  <si>
    <t>Dhruv Shandilya</t>
  </si>
  <si>
    <t>shandilyadhruv30@gmail.com</t>
  </si>
  <si>
    <t>Chaitanya Paldhe</t>
  </si>
  <si>
    <t>chaitanyapaldhe@gmail.com</t>
  </si>
  <si>
    <t>Renuguntla Jaipratham</t>
  </si>
  <si>
    <t>pratham.reniguntla@gmail.com</t>
  </si>
  <si>
    <t>GALE Agency</t>
  </si>
  <si>
    <t>Adithi Nr</t>
  </si>
  <si>
    <t>nradithi01@gmail.com</t>
  </si>
  <si>
    <t>Divit Verma</t>
  </si>
  <si>
    <t>divitverma2004@gmail.com</t>
  </si>
  <si>
    <t>Prakhar Dwivedi</t>
  </si>
  <si>
    <t>prakhargdwivedi@gmail.com</t>
  </si>
  <si>
    <t>Swetha Vemulapalli</t>
  </si>
  <si>
    <t>swetha.vemulapalli.3@gmail.com</t>
  </si>
  <si>
    <t>Yogesh Saini</t>
  </si>
  <si>
    <t>yogesh.sn2003@gmail.com</t>
  </si>
  <si>
    <t>Vishal Raj</t>
  </si>
  <si>
    <t>vishalraj.vr1257@gmail.com</t>
  </si>
  <si>
    <t>Aadi Jain</t>
  </si>
  <si>
    <t>aadi.atin@gmail.com</t>
  </si>
  <si>
    <t>Aryan Sapra</t>
  </si>
  <si>
    <t>aryansapra30@gmail.com</t>
  </si>
  <si>
    <t>CEM India Project</t>
  </si>
  <si>
    <t>Shravya Salian</t>
  </si>
  <si>
    <t>shrvsln@gmail.com</t>
  </si>
  <si>
    <t>Om Nanda</t>
  </si>
  <si>
    <t>omsainanda053@gmail.com</t>
  </si>
  <si>
    <t>Vinutha Nayak</t>
  </si>
  <si>
    <t>nayakvinutha02@gmail.com</t>
  </si>
  <si>
    <t>Mahima Sharma</t>
  </si>
  <si>
    <t>sharmamahima732@gmail.com</t>
  </si>
  <si>
    <t>Vivek Suryawanshi</t>
  </si>
  <si>
    <t>viveksuryawanshi403@gmail.com</t>
  </si>
  <si>
    <t>Anshitha Gandla</t>
  </si>
  <si>
    <t>anshithagandla@gmail.com</t>
  </si>
  <si>
    <t>Mukkutinal Avikshit Panicker</t>
  </si>
  <si>
    <t>avikshit12clrep@gmail.com</t>
  </si>
  <si>
    <t>Adnaan Haadi</t>
  </si>
  <si>
    <t>adnaanhadi@gmail.com</t>
  </si>
  <si>
    <t>Animesh Manik Patil</t>
  </si>
  <si>
    <t>Daya Sagar A J</t>
  </si>
  <si>
    <t>dsajdaya@gmail.com</t>
  </si>
  <si>
    <t>Sanskruti Sundara Rajan</t>
  </si>
  <si>
    <t>sanskruti018@gmail.com</t>
  </si>
  <si>
    <t>U Yash S Shetty</t>
  </si>
  <si>
    <t>yash.s.shetty440@gmail.com</t>
  </si>
  <si>
    <t>Tejas Chinnappa Kodandera</t>
  </si>
  <si>
    <t>tejaskodandera@gmail.com</t>
  </si>
  <si>
    <t>Paras Yashavant Dudhe</t>
  </si>
  <si>
    <t>paras175333@gmail.com</t>
  </si>
  <si>
    <t>Adithya Sriraman</t>
  </si>
  <si>
    <t>adithyasriraman12@gmail.com</t>
  </si>
  <si>
    <t>Aman Gupta</t>
  </si>
  <si>
    <t>amangupta7999@gmail.com</t>
  </si>
  <si>
    <t>ruchika jaiswal</t>
  </si>
  <si>
    <t>ruchikaj2806@gmail.com</t>
  </si>
  <si>
    <t xml:space="preserve">Aditi Santosh Javeri </t>
  </si>
  <si>
    <t>aditi.rsj@gmail.com</t>
  </si>
  <si>
    <t>Avanish Money Srivats</t>
  </si>
  <si>
    <t>avanish.srivats@gmail.com</t>
  </si>
  <si>
    <t>Yadavalli Venkata Subba Rama Akash</t>
  </si>
  <si>
    <t>akashdevulapalli@gmail.com</t>
  </si>
  <si>
    <t>Gajulapalle Sai Preetham</t>
  </si>
  <si>
    <t>amazingyspum@gmail.com</t>
  </si>
  <si>
    <t>Shruthi Ramprasad</t>
  </si>
  <si>
    <t>ramprasadshruthi@gmail.com</t>
  </si>
  <si>
    <t>Harshul Sharma</t>
  </si>
  <si>
    <t>harshul5683@gmail.com</t>
  </si>
  <si>
    <t>Mandar Sanjay Chaudhari</t>
  </si>
  <si>
    <t>Schlumberger</t>
  </si>
  <si>
    <t>Shravani</t>
  </si>
  <si>
    <t>shravanianand2004@gmail.com</t>
  </si>
  <si>
    <t>Shreeraksha Arunachala Chandavar</t>
  </si>
  <si>
    <t>rakshachandavar04@gmail.com</t>
  </si>
  <si>
    <t>Ayushi Ashwin Vaghasiya</t>
  </si>
  <si>
    <t>ayu.vag2003@gmail.com</t>
  </si>
  <si>
    <t>Arnav Garg</t>
  </si>
  <si>
    <t>arnavgarg2027@gmail.com</t>
  </si>
  <si>
    <t>Shrey Singh</t>
  </si>
  <si>
    <t>9shrey@gmail.com</t>
  </si>
  <si>
    <t>Varsha Sudarsan</t>
  </si>
  <si>
    <t>varsha.sudarsan221@gmail.com</t>
  </si>
  <si>
    <t>Prashanth J Kumar</t>
  </si>
  <si>
    <t>riverboat9602@gmail.com</t>
  </si>
  <si>
    <t xml:space="preserve">Janav Bhasin </t>
  </si>
  <si>
    <t>janavbhasin27@gmail.com</t>
  </si>
  <si>
    <t>e6data</t>
  </si>
  <si>
    <t>Aditya Srivastava</t>
  </si>
  <si>
    <t>adi.official.2990@gmail.com</t>
  </si>
  <si>
    <t>Ashvin Ganesh</t>
  </si>
  <si>
    <t>geekashvin@gmail.com</t>
  </si>
  <si>
    <t>Rigved Anand Waradpande</t>
  </si>
  <si>
    <t>rigved.waradpande@gmail.com</t>
  </si>
  <si>
    <t>Suhana Chandok</t>
  </si>
  <si>
    <t>chandoksuhana@gmail.com</t>
  </si>
  <si>
    <t>Ranveer Singh Sayal</t>
  </si>
  <si>
    <t>ranveersayal@gmail.com</t>
  </si>
  <si>
    <t>Abhinav Verma</t>
  </si>
  <si>
    <t>abhinavverma8154@gmail.com</t>
  </si>
  <si>
    <t>Anvay Shrivallabh Pujari</t>
  </si>
  <si>
    <t>anvaypujari@gmail.com</t>
  </si>
  <si>
    <t xml:space="preserve">Christie Mathews </t>
  </si>
  <si>
    <t>christiem802@gmail.com</t>
  </si>
  <si>
    <t>Rhea Tiwari</t>
  </si>
  <si>
    <t>rheatiwari1404@gmail.com</t>
  </si>
  <si>
    <t>Kshitij Mitra</t>
  </si>
  <si>
    <t>kshitij.mitra45@gmail.com</t>
  </si>
  <si>
    <t>Drishya Gopalakrishnan</t>
  </si>
  <si>
    <t>drishya0205@gmail.com</t>
  </si>
  <si>
    <t>Samyak Singh</t>
  </si>
  <si>
    <t>samyak.singh@gmail.com</t>
  </si>
  <si>
    <t>PUTTA NITHISH REDDY</t>
  </si>
  <si>
    <t>puttanithishreddy5544@gmail.com</t>
  </si>
  <si>
    <t>Rushank Kale</t>
  </si>
  <si>
    <t>kalerushank@gmail.com</t>
  </si>
  <si>
    <t>Narayani Sharma</t>
  </si>
  <si>
    <t>narayanis2003@gmail.com</t>
  </si>
  <si>
    <t>Aditya Dwarkani</t>
  </si>
  <si>
    <t>adityadwarkani999@gmail.com</t>
  </si>
  <si>
    <t>Mangalam Anand Sontakke</t>
  </si>
  <si>
    <t>mangalam.workmail@gmail.com</t>
  </si>
  <si>
    <t>Miriyala Amruni</t>
  </si>
  <si>
    <t>amzcollege101@gmail.com</t>
  </si>
  <si>
    <t>Arushi Darbari</t>
  </si>
  <si>
    <t>darbariarushi14@gmail.com</t>
  </si>
  <si>
    <t>Gurmann Singh Ajmani</t>
  </si>
  <si>
    <t>gurmann.ajmani@gmail.com</t>
  </si>
  <si>
    <t>Utkarsh Singh</t>
  </si>
  <si>
    <t>utkarsh.workmail.1@gmail.com</t>
  </si>
  <si>
    <t>Shourya Singh</t>
  </si>
  <si>
    <t>shouryasingh@gmail.com</t>
  </si>
  <si>
    <t>Naman Maheshwari</t>
  </si>
  <si>
    <t>namanmah2004@gmail.com</t>
  </si>
  <si>
    <t>Hemang Malik</t>
  </si>
  <si>
    <t>hemangmalik2486@gmail.com</t>
  </si>
  <si>
    <t>Yoihen Elangbam</t>
  </si>
  <si>
    <t>secondaryyoihen@gmail.com</t>
  </si>
  <si>
    <t>Matthew Arnold Joseph Saldanha</t>
  </si>
  <si>
    <t>matthewarnold3504@gmail.com</t>
  </si>
  <si>
    <t>Anirudh Rajesh Nayak</t>
  </si>
  <si>
    <t>anirudhnayak619@gmail.com</t>
  </si>
  <si>
    <t>Dev Vasudevan</t>
  </si>
  <si>
    <t>devvasudevan.wrk@gmail.com</t>
  </si>
  <si>
    <t xml:space="preserve">Anish Setya </t>
  </si>
  <si>
    <t>setyaanish@gmail.com</t>
  </si>
  <si>
    <t>Mihir Kumar Singh</t>
  </si>
  <si>
    <t>mihir7759@gmail.com</t>
  </si>
  <si>
    <t>Atharva Parag Chepe</t>
  </si>
  <si>
    <t>atharva.chepe16@gmail.com</t>
  </si>
  <si>
    <t>SuperAGI</t>
  </si>
  <si>
    <t>Pavani Mishra</t>
  </si>
  <si>
    <t>mishrapavani01@gmail.com</t>
  </si>
  <si>
    <t>STMicroelectronics</t>
  </si>
  <si>
    <t>Aarya Ujwal Dalvi</t>
  </si>
  <si>
    <t>aaryadalvi2145@gmail.com</t>
  </si>
  <si>
    <t>Suyash Misra</t>
  </si>
  <si>
    <t>suyashm0003@gmail.com</t>
  </si>
  <si>
    <t>Girija Ashish Jain</t>
  </si>
  <si>
    <t>jain.girija10@gmail.com</t>
  </si>
  <si>
    <t>Mihir Kiran Kasibhotla</t>
  </si>
  <si>
    <t>mihirkiran.k@gmail.com</t>
  </si>
  <si>
    <t>Kshitij Gupta</t>
  </si>
  <si>
    <t>guptakshitij647@gmail.com</t>
  </si>
  <si>
    <t>Bhavya Vats</t>
  </si>
  <si>
    <t>bhavyavats2004@gmail.com</t>
  </si>
  <si>
    <t>CV Harshith Acharyulu</t>
  </si>
  <si>
    <t>cvharshith29@gmail.com</t>
  </si>
  <si>
    <t>Mahesh Kumar Patra</t>
  </si>
  <si>
    <t>maheshkumarpatra1234@gmail.com</t>
  </si>
  <si>
    <t xml:space="preserve">Stuti Das </t>
  </si>
  <si>
    <t>stutidas.03@gmail.com</t>
  </si>
  <si>
    <t>Ruppikha Sree Shankar</t>
  </si>
  <si>
    <t>ruppikha@gmail.com</t>
  </si>
  <si>
    <t>Vignesh Vijaysekhar</t>
  </si>
  <si>
    <t>vigneshvijaysekhar5@gmail.com</t>
  </si>
  <si>
    <t>Pragati Sakhuja</t>
  </si>
  <si>
    <t>pragati.sakhuja@gmail.com</t>
  </si>
  <si>
    <t>Yajya Puri</t>
  </si>
  <si>
    <t>puriyajya0406@gmail.com</t>
  </si>
  <si>
    <t>Devesh Aman</t>
  </si>
  <si>
    <t>deveshaman10@gmail.com</t>
  </si>
  <si>
    <t>Sanjit Roy</t>
  </si>
  <si>
    <t>sanjitroy28@gmail.com</t>
  </si>
  <si>
    <t>Ashutosh Swain</t>
  </si>
  <si>
    <t>ashu22612@gmail.com</t>
  </si>
  <si>
    <t>Akshat Narinder Bhatia</t>
  </si>
  <si>
    <t>akshat4804@gmail.com</t>
  </si>
  <si>
    <t>Dharuni R Acharya</t>
  </si>
  <si>
    <t>contactdharuni@gmail.com</t>
  </si>
  <si>
    <t>Sanjana Chaturvedi</t>
  </si>
  <si>
    <t>sattuchat2@gmail.com</t>
  </si>
  <si>
    <t>Saivya Singh</t>
  </si>
  <si>
    <t>saivya1@gmail.com</t>
  </si>
  <si>
    <t>Arcesium</t>
  </si>
  <si>
    <t>Anaadhi Mongia</t>
  </si>
  <si>
    <t>anaadhimongia9@gmail.com</t>
  </si>
  <si>
    <t>Sanskriti Srivastava</t>
  </si>
  <si>
    <t>charuprivate01@gmail.com</t>
  </si>
  <si>
    <t>Srikar Bharadwaj R</t>
  </si>
  <si>
    <t>srikarbharadwaj000@gmail.com</t>
  </si>
  <si>
    <t>Eric B John</t>
  </si>
  <si>
    <t>ericbjohn25@gmail.com</t>
  </si>
  <si>
    <t>Sambhav Nath Jain</t>
  </si>
  <si>
    <t>sambhavjain1404@gmail.com</t>
  </si>
  <si>
    <t>planetaryan2004@gmail.com</t>
  </si>
  <si>
    <t>Siddharth Agrawal</t>
  </si>
  <si>
    <t>siddharth11409@gmail.com</t>
  </si>
  <si>
    <t>Shashaank Singh</t>
  </si>
  <si>
    <t>chandtapashya@gmail.com</t>
  </si>
  <si>
    <t>Aditya Singh</t>
  </si>
  <si>
    <t>aditya.singh8107@gmail.com</t>
  </si>
  <si>
    <t>Harsh Gondal</t>
  </si>
  <si>
    <t>harsh.gondal1@gmail.com</t>
  </si>
  <si>
    <t>Pranav Arora</t>
  </si>
  <si>
    <t>pranavb207@gmail.com</t>
  </si>
  <si>
    <t>Rudransh Singh</t>
  </si>
  <si>
    <t>rudransh.singh2504@gmail.com</t>
  </si>
  <si>
    <t>Nakshatra Bhandary</t>
  </si>
  <si>
    <t>nakshatra.bhandary@gmail.com</t>
  </si>
  <si>
    <t>Aarohi Jadav</t>
  </si>
  <si>
    <t>aarohijadav1@gmail.com</t>
  </si>
  <si>
    <t>Suchit Gupta</t>
  </si>
  <si>
    <t>suchitgupta027@gmail.com</t>
  </si>
  <si>
    <t>Medha Chawla</t>
  </si>
  <si>
    <t>medhachawla75@gmail.com</t>
  </si>
  <si>
    <t>Arihant Singhvi</t>
  </si>
  <si>
    <t>arihant.singhvi39@gmail.com</t>
  </si>
  <si>
    <t>Shashwat Harsh</t>
  </si>
  <si>
    <t>shashwatharsh03@gmail.com</t>
  </si>
  <si>
    <t>Devansh Desai</t>
  </si>
  <si>
    <t>devanshvd237@gmail.com</t>
  </si>
  <si>
    <t>Ananya Gour</t>
  </si>
  <si>
    <t>ananyagour09@gmail.com</t>
  </si>
  <si>
    <t>Sahitya Kambhampati</t>
  </si>
  <si>
    <t>Diya Prashanth</t>
  </si>
  <si>
    <t>diyaprashanth3104@gmail.com</t>
  </si>
  <si>
    <t>Ritika Salimath</t>
  </si>
  <si>
    <t>ritika.salimath@gmail.com</t>
  </si>
  <si>
    <t>Aman Agarwal</t>
  </si>
  <si>
    <t>amanagarwal74454@gmail.com</t>
  </si>
  <si>
    <t>Rishit Singh</t>
  </si>
  <si>
    <t>singhrishit.04@gmail.com</t>
  </si>
  <si>
    <t>Sparsh Srivastava</t>
  </si>
  <si>
    <t>sparsh1264@gmail.com</t>
  </si>
  <si>
    <t>Ridhima Shukla</t>
  </si>
  <si>
    <t>ridhimashukla23@gmail.com</t>
  </si>
  <si>
    <t>Padilam Yadav</t>
  </si>
  <si>
    <t>adithyataran477@gmail.com</t>
  </si>
  <si>
    <t>Aaryan Panigrahi</t>
  </si>
  <si>
    <t>aaryan.t.panigrahi@gmail.com</t>
  </si>
  <si>
    <t>HyperVerge (MLE)</t>
  </si>
  <si>
    <t>Muhammad Zaid Hassan</t>
  </si>
  <si>
    <t>mdzaidhassan2004@gmail.com</t>
  </si>
  <si>
    <t>Shaurya Rathore</t>
  </si>
  <si>
    <t>shauryarathore121@gmail.com</t>
  </si>
  <si>
    <t>Shrinidhi Deshmukh</t>
  </si>
  <si>
    <t>shrinidhideshmukh17@gmail.com</t>
  </si>
  <si>
    <t>Aliasger Zaki</t>
  </si>
  <si>
    <t>aliasgerzaki17@gmail.com</t>
  </si>
  <si>
    <t>Tushar Sharma</t>
  </si>
  <si>
    <t>tushar.techdev@gmail.com</t>
  </si>
  <si>
    <t>Urvi Todi</t>
  </si>
  <si>
    <t>todiurvi33@gmail.com</t>
  </si>
  <si>
    <t>Annie Tiru</t>
  </si>
  <si>
    <t>annietiru31@gmail.com</t>
  </si>
  <si>
    <t>Vaibhav Agarwal</t>
  </si>
  <si>
    <t>agarwalvaibhav2808@gmail.com</t>
  </si>
  <si>
    <t>Mudit Agarwal</t>
  </si>
  <si>
    <t>amudit505@gmail.com</t>
  </si>
  <si>
    <t>Sanfer Rodrigues</t>
  </si>
  <si>
    <t>sanferzr@gmail.com</t>
  </si>
  <si>
    <t>Omkar Bhusannavar</t>
  </si>
  <si>
    <t>bhusannavaromkar@gmail.com</t>
  </si>
  <si>
    <t>Diya Nisar</t>
  </si>
  <si>
    <t>diya.nisar7777@gmail.com</t>
  </si>
  <si>
    <t>Prateekshaa Sahoo</t>
  </si>
  <si>
    <t>sahooprateekshaa@gmail.com</t>
  </si>
  <si>
    <t>Rajavarshan M</t>
  </si>
  <si>
    <t>rajavarshan3.2.2004@gmail.com</t>
  </si>
  <si>
    <t>Arjun Sanjay</t>
  </si>
  <si>
    <t>arjunsanjay@gmail.com</t>
  </si>
  <si>
    <t>Vedanti Dhar</t>
  </si>
  <si>
    <t>vedantid0301@gmail.com</t>
  </si>
  <si>
    <t>Naitik Gaddikeri</t>
  </si>
  <si>
    <t>naitikg636@gmail.com</t>
  </si>
  <si>
    <t>Abhisar Yadav</t>
  </si>
  <si>
    <t>abhisaryadav12@gmail.com</t>
  </si>
  <si>
    <t>Manan Bhatia</t>
  </si>
  <si>
    <t>manan.bhatia9467knp@gmail.com</t>
  </si>
  <si>
    <t>Mahika Pramodh</t>
  </si>
  <si>
    <t>mahikapramodh@gmail.com</t>
  </si>
  <si>
    <t>Sreemahi Sivakami Gangadharan</t>
  </si>
  <si>
    <t>sreemahianuradha@gmail.com</t>
  </si>
  <si>
    <t xml:space="preserve">Chinmayi Bhat </t>
  </si>
  <si>
    <t>cbinapply@gmail.com</t>
  </si>
  <si>
    <t>Jishnu Chattoraj</t>
  </si>
  <si>
    <t>jishnuchattoraj@gmail.com</t>
  </si>
  <si>
    <t>Yajan Vijayvargiya</t>
  </si>
  <si>
    <t>yajanvijayvargiya@gmail.com</t>
  </si>
  <si>
    <t>Darren Dmello</t>
  </si>
  <si>
    <t>darrensdmello@gmail.com</t>
  </si>
  <si>
    <t>Goldman Sachs (Operation)</t>
  </si>
  <si>
    <t>Arushi Thakur</t>
  </si>
  <si>
    <t>arushithakur448@gmail.com</t>
  </si>
  <si>
    <t>Goldman Sachs (AWM M)</t>
  </si>
  <si>
    <t>Laven Srivastava</t>
  </si>
  <si>
    <t>lavensri@gmail.com</t>
  </si>
  <si>
    <t>Goldman Sachs (GMLM)</t>
  </si>
  <si>
    <t>Shaurya Gupta</t>
  </si>
  <si>
    <t>contact.shauryaa@gmail.com</t>
  </si>
  <si>
    <t>Ayush Shetty</t>
  </si>
  <si>
    <t>iiayushshettyii@gmail.com</t>
  </si>
  <si>
    <t>Parv Goel</t>
  </si>
  <si>
    <t>parvgoel7590@gmail.com</t>
  </si>
  <si>
    <t>Ayush Acharya</t>
  </si>
  <si>
    <t>ayushacharya0904@gmail.com</t>
  </si>
  <si>
    <t>Siddharth Ghosh</t>
  </si>
  <si>
    <t>siddharth.ghosh9@gmail.com</t>
  </si>
  <si>
    <t>Jeevandeep Shettigar</t>
  </si>
  <si>
    <t>jeevandeepln@gmail.com</t>
  </si>
  <si>
    <t>Aditya Aggarwal</t>
  </si>
  <si>
    <t>adityaagg.work@gmail.com</t>
  </si>
  <si>
    <t>Adwaiy Singh</t>
  </si>
  <si>
    <t>adwaiy2913@gmail.com</t>
  </si>
  <si>
    <t>Cisco (SW)</t>
  </si>
  <si>
    <t>Shreya . T</t>
  </si>
  <si>
    <t>shreyat1117@gmail.com</t>
  </si>
  <si>
    <t>Cisco (BA)</t>
  </si>
  <si>
    <t>Prathamesh Ulhas Padiyar</t>
  </si>
  <si>
    <t>prathameshpadiyar@gmail.com</t>
  </si>
  <si>
    <t>Uday Rajan</t>
  </si>
  <si>
    <t>uday.rajant@gmail.com</t>
  </si>
  <si>
    <t>Ojas Rathi</t>
  </si>
  <si>
    <t>ojasrathiwork@gmail.com</t>
  </si>
  <si>
    <t>Raj Whawal</t>
  </si>
  <si>
    <t>rwhawal850@gmail.com</t>
  </si>
  <si>
    <t>Aditya Agarwal</t>
  </si>
  <si>
    <t>adityaagarwal0081@gmail.com</t>
  </si>
  <si>
    <t>Amazon (DE)</t>
  </si>
  <si>
    <t>Ayushi Shukla</t>
  </si>
  <si>
    <t>ayushiss123@gmail.com</t>
  </si>
  <si>
    <t>NXP (SW)</t>
  </si>
  <si>
    <t>Som Jain</t>
  </si>
  <si>
    <t>som.17jain@gmail.com</t>
  </si>
  <si>
    <t>NXP (HW)</t>
  </si>
  <si>
    <t>Harshit Chopra</t>
  </si>
  <si>
    <t>harshitchopra31@gmail.com</t>
  </si>
  <si>
    <t>Aryan Raj</t>
  </si>
  <si>
    <t>aryano2004oraj@gmail.com</t>
  </si>
  <si>
    <t>Vansh Jogani</t>
  </si>
  <si>
    <t>vanshjogani2004@gmail.com</t>
  </si>
  <si>
    <t>Nikillan Rajesh</t>
  </si>
  <si>
    <t>nikillanrajesh@gmail.com</t>
  </si>
  <si>
    <t>Akshaj Vidyarthy</t>
  </si>
  <si>
    <t>akshajvidyarthy03@gmail.com</t>
  </si>
  <si>
    <t>Adit Basak</t>
  </si>
  <si>
    <t>aditbasak55@gmail.com</t>
  </si>
  <si>
    <t>Shreyash Srivastava</t>
  </si>
  <si>
    <t>shreyashparadox@gmail.com</t>
  </si>
  <si>
    <t>Siddharth Krishna S</t>
  </si>
  <si>
    <t>siddharthkrishna14@gmail.com</t>
  </si>
  <si>
    <t>Puregella Manas Bharadwaj</t>
  </si>
  <si>
    <t>manaskun27@gmail.com</t>
  </si>
  <si>
    <t>Ashutosh Verma</t>
  </si>
  <si>
    <t>akvastronaut@gmail.com</t>
  </si>
  <si>
    <t>Pranay Goel</t>
  </si>
  <si>
    <t>pranaygoel92@gmail.com</t>
  </si>
  <si>
    <t>Rishit Mandal</t>
  </si>
  <si>
    <t>rishit2014@gmail.com</t>
  </si>
  <si>
    <t>Anirudha Desai</t>
  </si>
  <si>
    <t>anirudhardesai@gmail.com</t>
  </si>
  <si>
    <t>Uday Ojha</t>
  </si>
  <si>
    <t>udayojha129@gmail.com</t>
  </si>
  <si>
    <t>Medhaj Dubey</t>
  </si>
  <si>
    <t>dubeymedhaj10@gmail.com</t>
  </si>
  <si>
    <t>Gaurav Pradeep</t>
  </si>
  <si>
    <t>gauravpradeep2004@gmail.com</t>
  </si>
  <si>
    <t>Pranav Menon</t>
  </si>
  <si>
    <t>pranav2408dhruv@gmail.com</t>
  </si>
  <si>
    <t>Shashank Kumar</t>
  </si>
  <si>
    <t>2shashank11@gmail.com</t>
  </si>
  <si>
    <t>Aditya Katam</t>
  </si>
  <si>
    <t>adityakatam7@gmail.com</t>
  </si>
  <si>
    <t>Shreya Umesh Poojary</t>
  </si>
  <si>
    <t>shreyapoojary224@gmail.com</t>
  </si>
  <si>
    <t>Siddhartha Modi</t>
  </si>
  <si>
    <t>sidmodi2004@gmail.com</t>
  </si>
  <si>
    <t>Tanzeel Ashiq</t>
  </si>
  <si>
    <t>tanzeel.ashiq710@gmail.com</t>
  </si>
  <si>
    <t>Rishik Bandi</t>
  </si>
  <si>
    <t>rrbandi01@gmail.com</t>
  </si>
  <si>
    <t>Saptashwa Mandal</t>
  </si>
  <si>
    <t>saptashwa04@gmail.com</t>
  </si>
  <si>
    <t>Sai Suman Datta Reddy Tangasani</t>
  </si>
  <si>
    <t>tsaisuman333@gmail.com</t>
  </si>
  <si>
    <t>I A Ganit Cariappa</t>
  </si>
  <si>
    <t>iaganitc@gmail.com</t>
  </si>
  <si>
    <t>Bain</t>
  </si>
  <si>
    <t>Jahnavi Singh</t>
  </si>
  <si>
    <t>singhjahnavi1@gmail.com</t>
  </si>
  <si>
    <t>Shaurya Mittal</t>
  </si>
  <si>
    <t>shauryaimp06@gmail.com</t>
  </si>
  <si>
    <t>Udeshya Kumar</t>
  </si>
  <si>
    <t>udeshya1234@gmail.com</t>
  </si>
  <si>
    <t>Aditi Joshi</t>
  </si>
  <si>
    <t>aditij0205@gmail.com</t>
  </si>
  <si>
    <t>Akshaan Shetty</t>
  </si>
  <si>
    <t>shettyakshaan@gmail.com</t>
  </si>
  <si>
    <t>Mukta Joshi</t>
  </si>
  <si>
    <t>joshi.mukta.s@gmail.com</t>
  </si>
  <si>
    <t>Kushagra Kapoor</t>
  </si>
  <si>
    <t>kushagrakapoor.31@gmail.com</t>
  </si>
  <si>
    <t>Nihar .</t>
  </si>
  <si>
    <t>Niharischillin@gmail.com</t>
  </si>
  <si>
    <t>Vansh Verma</t>
  </si>
  <si>
    <t>vermavee23@gmail.com</t>
  </si>
  <si>
    <t>Tia Gupta</t>
  </si>
  <si>
    <t>guptia04@gmail.com</t>
  </si>
  <si>
    <t>Shreyas Nair</t>
  </si>
  <si>
    <t>shreyasnairrr10@gmail.com</t>
  </si>
  <si>
    <t>Krutarth Shah</t>
  </si>
  <si>
    <t>krutarth2004@gmail.com</t>
  </si>
  <si>
    <t>Shubhangi Shree</t>
  </si>
  <si>
    <t>meetshubhangi14@gmail.com</t>
  </si>
  <si>
    <t>Akundi Pranav</t>
  </si>
  <si>
    <t>pranav.akundi@gmail.com</t>
  </si>
  <si>
    <t>Havish Shetty</t>
  </si>
  <si>
    <t>shettyhavish@gmail.com</t>
  </si>
  <si>
    <t>Jai Shah</t>
  </si>
  <si>
    <t>shah.jai2808@gmail.com</t>
  </si>
  <si>
    <t>Venkata Sai Vishwanath Duggirala</t>
  </si>
  <si>
    <t>dvsv2004@gmail.com</t>
  </si>
  <si>
    <t>Vishwas Bachani</t>
  </si>
  <si>
    <t>vishwas.bachani0vb@gmail.com</t>
  </si>
  <si>
    <t>Jay Jithendra</t>
  </si>
  <si>
    <t>jay.jithendra@gmail.com</t>
  </si>
  <si>
    <t>Naman Kumar</t>
  </si>
  <si>
    <t>naman.kmr246@gmail.com</t>
  </si>
  <si>
    <t>Akanksha Mukhopadhyay</t>
  </si>
  <si>
    <t>akanksha.sutapa@gmail.com</t>
  </si>
  <si>
    <t>Harshini Manivannan</t>
  </si>
  <si>
    <t>harshinipsbb@gmail.com</t>
  </si>
  <si>
    <t>Ishaan Aggarwal</t>
  </si>
  <si>
    <t>ishaanaggarwal2404@gmail.com</t>
  </si>
  <si>
    <t>Divej Ahuja</t>
  </si>
  <si>
    <t>ahujadivej@gmail.com</t>
  </si>
  <si>
    <t>Sai Harshini U</t>
  </si>
  <si>
    <t>usharshini9@gmail.com</t>
  </si>
  <si>
    <t>Rebanta Mandal</t>
  </si>
  <si>
    <t>mandalrebanta@gmail.com</t>
  </si>
  <si>
    <t>Adityaraj Singha</t>
  </si>
  <si>
    <t>adityarajasingha@gmail.com</t>
  </si>
  <si>
    <t>Pulkit Khemani</t>
  </si>
  <si>
    <t>khemanipulkit@gmail.com</t>
  </si>
  <si>
    <t>Sanvi Shetty</t>
  </si>
  <si>
    <t>sanvishetty1804@gmail.com</t>
  </si>
  <si>
    <t>Amritya Singh</t>
  </si>
  <si>
    <t>amritya2021@gmail.com</t>
  </si>
  <si>
    <t>Samarth Vinod</t>
  </si>
  <si>
    <t>samarth.vinod08@gmail.com</t>
  </si>
  <si>
    <t>LeadSquared (CSM)</t>
  </si>
  <si>
    <t>Sayanbhuba Sahoo</t>
  </si>
  <si>
    <t>sayanbhuba@gmail.com</t>
  </si>
  <si>
    <t>Rohan Satya Venuturupalli</t>
  </si>
  <si>
    <t>rohansv95@gmail.com</t>
  </si>
  <si>
    <t>Amogh Khandelwal</t>
  </si>
  <si>
    <t>amoghkhandelwal01@gmail.com</t>
  </si>
  <si>
    <t>LeadSquared (BA US)</t>
  </si>
  <si>
    <t>Mahesh Soni</t>
  </si>
  <si>
    <t>mahesh31soni@gmail.com</t>
  </si>
  <si>
    <t>Shreya Sinha</t>
  </si>
  <si>
    <t>shreyasinha3002@gmail.com</t>
  </si>
  <si>
    <t>Nithish Penumetsa</t>
  </si>
  <si>
    <t>pnithishv6@gmail.com</t>
  </si>
  <si>
    <t>Arnavdeep Amandeep  Singh</t>
  </si>
  <si>
    <t>singharnavdeep7@gmail.com</t>
  </si>
  <si>
    <t>Kartikey Srivastava</t>
  </si>
  <si>
    <t>kartikeysrivastavakk@gmail.com</t>
  </si>
  <si>
    <t>Prince Roy</t>
  </si>
  <si>
    <t>princesk622@gmail.com</t>
  </si>
  <si>
    <t>Shreya J</t>
  </si>
  <si>
    <t>shreya3507@gmail.com</t>
  </si>
  <si>
    <t>LeadSquared (SDR)</t>
  </si>
  <si>
    <t>Madhu Ramachandran</t>
  </si>
  <si>
    <t>madhuram2424@gmail.com</t>
  </si>
  <si>
    <t>LeadSquared (SDR US)</t>
  </si>
  <si>
    <t>Bhavyaa Aggarwal</t>
  </si>
  <si>
    <t>bhavyaawork@gmail.com</t>
  </si>
  <si>
    <t>Akshaya Velliangiri</t>
  </si>
  <si>
    <t>akshvgiri@gmail.com</t>
  </si>
  <si>
    <t>Gaurav Khare</t>
  </si>
  <si>
    <t>gauravkhare960@gmail.com</t>
  </si>
  <si>
    <t>Reva Laghate</t>
  </si>
  <si>
    <t>laghate.reva@gmail.com</t>
  </si>
  <si>
    <t>Abhimanyu Garg</t>
  </si>
  <si>
    <t>abhimanyu.ashish.garg@gmail.com</t>
  </si>
  <si>
    <t>Hemang Doshi</t>
  </si>
  <si>
    <t>hemangdoshi26@gmail.com</t>
  </si>
  <si>
    <t>Prisha Singh</t>
  </si>
  <si>
    <t>prishasinghxic16@gmail.com</t>
  </si>
  <si>
    <t>Shaurya Jindal</t>
  </si>
  <si>
    <t>shaurya263007@gmail.com</t>
  </si>
  <si>
    <t>Chiranth Reddy  Kapu</t>
  </si>
  <si>
    <t>chiranthreddykapu1@gmail.com</t>
  </si>
  <si>
    <t>Sahil Shah</t>
  </si>
  <si>
    <t>sahilshah.3142@gmail.com</t>
  </si>
  <si>
    <t>Arhaan Girdhar</t>
  </si>
  <si>
    <t>17arhaan@gmail.com</t>
  </si>
  <si>
    <t>Priyanshu Bhardwaj</t>
  </si>
  <si>
    <t>priyanshubhardwaj345@gmail.com</t>
  </si>
  <si>
    <t>Rajeev Kunapareddy</t>
  </si>
  <si>
    <t>rajeev.kunapareddy@gmail.com</t>
  </si>
  <si>
    <t>Avinash Raj</t>
  </si>
  <si>
    <t>avinash.work14@gmail.com</t>
  </si>
  <si>
    <t>Jalla Varshith</t>
  </si>
  <si>
    <t>Varshith.web.dev@gmail.com</t>
  </si>
  <si>
    <t>Rohan Pai</t>
  </si>
  <si>
    <t>Rohanvpai2004@gmail.com</t>
  </si>
  <si>
    <t>Adithya Om Saidupally</t>
  </si>
  <si>
    <t>theadithyaom@gmail.com</t>
  </si>
  <si>
    <t>Preksha Bhansali</t>
  </si>
  <si>
    <t>prekshabhansali482@gmail.com</t>
  </si>
  <si>
    <t>Soham Korday</t>
  </si>
  <si>
    <t>sohamkorday@gmail.com</t>
  </si>
  <si>
    <t>adityamathur100@gmail.com</t>
  </si>
  <si>
    <t xml:space="preserve">Srajan  </t>
  </si>
  <si>
    <t>srajan0624@gmail.com</t>
  </si>
  <si>
    <t>Rashi Gokharu</t>
  </si>
  <si>
    <t>rashi52341@hotmail.com</t>
  </si>
  <si>
    <t>Dsouza Noel</t>
  </si>
  <si>
    <t>neel6264@gmail.com</t>
  </si>
  <si>
    <t>Automobile Engineering (AU)</t>
  </si>
  <si>
    <t>Samarth Bhagath</t>
  </si>
  <si>
    <t>samarth1092@gmail.com</t>
  </si>
  <si>
    <t>Abijith Menon</t>
  </si>
  <si>
    <t>abijith864@gmail.com</t>
  </si>
  <si>
    <t>Siddharth Baid</t>
  </si>
  <si>
    <t>siddharthbaid53@gmail.com</t>
  </si>
  <si>
    <t>Udit Rao</t>
  </si>
  <si>
    <t>uditrao09@gmail.com</t>
  </si>
  <si>
    <t>Mahesh Kumar</t>
  </si>
  <si>
    <t>mahimaheshkumar147@gmail.com</t>
  </si>
  <si>
    <t>Siddhanth Santhosh</t>
  </si>
  <si>
    <t>siddhanth1864@gmail.com</t>
  </si>
  <si>
    <t>Nidhi Hegde</t>
  </si>
  <si>
    <t>hegdenidhi2304@gmail.com</t>
  </si>
  <si>
    <t>Balaji Ramadhurai</t>
  </si>
  <si>
    <t>balaji.ramadhuraiks@gmail.com</t>
  </si>
  <si>
    <t>Ayush Bhakat</t>
  </si>
  <si>
    <t>bhakat2004@gmail.com</t>
  </si>
  <si>
    <t>Pasupuleti Mokshagna Naidu</t>
  </si>
  <si>
    <t>pmn4499@gmail.com</t>
  </si>
  <si>
    <t>Swayam Srivastav</t>
  </si>
  <si>
    <t>swaym.srivastav@gmail.com</t>
  </si>
  <si>
    <t>Ashwanth Ravichandran</t>
  </si>
  <si>
    <t>ashwanth14711509@gmail.com</t>
  </si>
  <si>
    <t>Swastik Nayak</t>
  </si>
  <si>
    <t>swaxtik13@gmail.com</t>
  </si>
  <si>
    <t>PureStorage (DTG)</t>
  </si>
  <si>
    <t>Sathvik Ujwal</t>
  </si>
  <si>
    <t>sathvikmu04@gmail.com</t>
  </si>
  <si>
    <t>Viraj Edlabadkar</t>
  </si>
  <si>
    <t>virajedlabadkar@gmail.com</t>
  </si>
  <si>
    <t>Aditya Verma</t>
  </si>
  <si>
    <t>adiv933.dev@gmail.com</t>
  </si>
  <si>
    <t>PureStorage (DV WM)</t>
  </si>
  <si>
    <t xml:space="preserve">S T Mugilan </t>
  </si>
  <si>
    <t>stmugil2003@gmail.com</t>
  </si>
  <si>
    <t>L&amp;T</t>
  </si>
  <si>
    <t>Akash Siddarth Navamani</t>
  </si>
  <si>
    <t>akasiddarth7107@gmail.com</t>
  </si>
  <si>
    <t>Airbus</t>
  </si>
  <si>
    <t>Mandavilli Venkat Sri Vatsa</t>
  </si>
  <si>
    <t>svatsa05@gmail.com</t>
  </si>
  <si>
    <t>Amazon Manager I, Operations</t>
  </si>
  <si>
    <t>Mihika Rungta</t>
  </si>
  <si>
    <t>mihikarungta06@gmail.com</t>
  </si>
  <si>
    <t>Amazon Program Manager I</t>
  </si>
  <si>
    <t>Adhvik Hegde</t>
  </si>
  <si>
    <t>adhvikabhyudith@gmail.com</t>
  </si>
  <si>
    <t>Rishita Dhulipalla</t>
  </si>
  <si>
    <t>rishita566@gmail.com</t>
  </si>
  <si>
    <t>Adya Periwal</t>
  </si>
  <si>
    <t>adyaperiwal104@gmail.com</t>
  </si>
  <si>
    <t>Hem Gosalia</t>
  </si>
  <si>
    <t>hem.gosalia3@gmail.com</t>
  </si>
  <si>
    <t>Priyam Agarwala</t>
  </si>
  <si>
    <t>agarwalapriyam@gmail.com</t>
  </si>
  <si>
    <t>Aryan Nijamkar</t>
  </si>
  <si>
    <t>nijamkararyan@gmail.com</t>
  </si>
  <si>
    <t>Amazon Data Engineer I</t>
  </si>
  <si>
    <t>Ansh Mangla</t>
  </si>
  <si>
    <t>anshmangla567@gmail.com</t>
  </si>
  <si>
    <t>Amazon Support Engineer II</t>
  </si>
  <si>
    <t>Shreehith Ala</t>
  </si>
  <si>
    <t>shreehithreddies@gmail.com</t>
  </si>
  <si>
    <t>Amazon Business Intel Engineer I</t>
  </si>
  <si>
    <t>Kumar Aditya Farmania</t>
  </si>
  <si>
    <t>adityafarmania1@gmail.com</t>
  </si>
  <si>
    <t>Paleti Ananya</t>
  </si>
  <si>
    <t>Ananyasripaleti@gmail.com</t>
  </si>
  <si>
    <t>Sparsh Raj</t>
  </si>
  <si>
    <t>sparshraj2804@gmail.com</t>
  </si>
  <si>
    <t>Amazon Quality Assurance Engineer I</t>
  </si>
  <si>
    <t>Pranav Mathur</t>
  </si>
  <si>
    <t>pranav.mathur.2004@gmail.com</t>
  </si>
  <si>
    <t>Amitesh Jha</t>
  </si>
  <si>
    <t>amitesh.jha04.07@gmail.com</t>
  </si>
  <si>
    <t>Akash Gupta</t>
  </si>
  <si>
    <t>akashgupta080604@gmail.com</t>
  </si>
  <si>
    <t>Piyush Ganti</t>
  </si>
  <si>
    <t>piyushganti@gmail.com</t>
  </si>
  <si>
    <t>Deepanshu Goel</t>
  </si>
  <si>
    <t>deepanshugoel876@gmail.com</t>
  </si>
  <si>
    <t>Anirudh Mohta</t>
  </si>
  <si>
    <t>anirudhmohta7@gmail.com</t>
  </si>
  <si>
    <t>Milind Kiran</t>
  </si>
  <si>
    <t>milindkiran04@gmail.com</t>
  </si>
  <si>
    <t>Kush Varu</t>
  </si>
  <si>
    <t>kushvaru99@gmail.com</t>
  </si>
  <si>
    <t>Tejas Mohandas Patil</t>
  </si>
  <si>
    <t>for.tejaspatil@gmail.com</t>
  </si>
  <si>
    <t>Aditya Ayushman</t>
  </si>
  <si>
    <t>ayushman260504@gmail.com</t>
  </si>
  <si>
    <t>Harsh Gupta</t>
  </si>
  <si>
    <t>harsh25g@gmail.com</t>
  </si>
  <si>
    <t>Shyam Sunder Ramadoss</t>
  </si>
  <si>
    <t>shyamsunder.20.08.04@gmail.com</t>
  </si>
  <si>
    <t>Parankusam Venkat Rohan</t>
  </si>
  <si>
    <t>rohanpv.27@gmail.com</t>
  </si>
  <si>
    <t>Lakshmi Narasimham Karlapalem</t>
  </si>
  <si>
    <t>kl.nara.2806@gmail.com</t>
  </si>
  <si>
    <t>Gurkanwar Singh</t>
  </si>
  <si>
    <t>gurkanwar99@gmail.com</t>
  </si>
  <si>
    <t>Bhargav Sadari</t>
  </si>
  <si>
    <t>bhargavsadari32@gmail.com</t>
  </si>
  <si>
    <t>Mahi Rahman</t>
  </si>
  <si>
    <t>mahirahman791@gmail.com</t>
  </si>
  <si>
    <t>Aprameya Ansh</t>
  </si>
  <si>
    <t>aprameyansh3@gmail.com</t>
  </si>
  <si>
    <t>Kiran Kishore</t>
  </si>
  <si>
    <t>k14ankishore@gmail.com</t>
  </si>
  <si>
    <t>Change Jar Technologies</t>
  </si>
  <si>
    <t>Chirag P C</t>
  </si>
  <si>
    <t>chiragpc2004@gmail.com</t>
  </si>
  <si>
    <t>Hriday Raizada</t>
  </si>
  <si>
    <t>raizada.hriday@gmail.com</t>
  </si>
  <si>
    <t>L&amp;T Chennai</t>
  </si>
  <si>
    <t>Pragya Sujitkumar</t>
  </si>
  <si>
    <t>pragyasujitkumar922004@gmail.com</t>
  </si>
  <si>
    <t>Pranav P</t>
  </si>
  <si>
    <t>pranv0723@gmail.com</t>
  </si>
  <si>
    <t>Harshith Arutla</t>
  </si>
  <si>
    <t>arutlaharshith@gmail.com</t>
  </si>
  <si>
    <t>Bhuvan Battu</t>
  </si>
  <si>
    <t>bhuvanbattu08@gmail.com</t>
  </si>
  <si>
    <t xml:space="preserve">Nagbhushan  Pai </t>
  </si>
  <si>
    <t>nagbhushanpai707@gmail.com</t>
  </si>
  <si>
    <t>Aditya Wadgaonkar</t>
  </si>
  <si>
    <t>techadityawadgaonkar@gmail.com</t>
  </si>
  <si>
    <t>Abhinav Nambiar</t>
  </si>
  <si>
    <t>abhinav.v.nambiar@gmail.com</t>
  </si>
  <si>
    <t>Soham Pavate</t>
  </si>
  <si>
    <t>soham.pavate.201264@gmail.com</t>
  </si>
  <si>
    <t>Sai Suthirth Yeramalli</t>
  </si>
  <si>
    <t>saisuthirth99@gmail.com</t>
  </si>
  <si>
    <t>Soham Rane</t>
  </si>
  <si>
    <t>ranesoham365@gmail.com</t>
  </si>
  <si>
    <t>Infosys</t>
  </si>
  <si>
    <t>Vishnu Manoj</t>
  </si>
  <si>
    <t>vishnumanoj0106@gmail.com</t>
  </si>
  <si>
    <t>Varad Dharmadhikari</t>
  </si>
  <si>
    <t>vpb.dharma@gmail.com</t>
  </si>
  <si>
    <t>Ayush Mehta</t>
  </si>
  <si>
    <t>ayushmehta187@gmail.com</t>
  </si>
  <si>
    <t>Ayanika Paul</t>
  </si>
  <si>
    <t>ayanik2a18@gmail.com</t>
  </si>
  <si>
    <t>Snehansh Jerath</t>
  </si>
  <si>
    <t>snehanshj@gmail.com</t>
  </si>
  <si>
    <t>Rit Khamrui</t>
  </si>
  <si>
    <t>ritkhamrui@gmail.com</t>
  </si>
  <si>
    <t>Prathit Kapil</t>
  </si>
  <si>
    <t>prathitrajkapil8@gmail.com</t>
  </si>
  <si>
    <t>Yashas Sagili</t>
  </si>
  <si>
    <t>yashassagili@gmail.com</t>
  </si>
  <si>
    <t>Anirvesh Arcot</t>
  </si>
  <si>
    <t>arcotanirvesh@gmail.com</t>
  </si>
  <si>
    <t>Nurul Shaik</t>
  </si>
  <si>
    <t>ameenshaik8800@gmail.com</t>
  </si>
  <si>
    <t>Adithya Mohan</t>
  </si>
  <si>
    <t>adithyag2909@gmail.com</t>
  </si>
  <si>
    <t>Aaditya Chauhan</t>
  </si>
  <si>
    <t>chauhanaaditya5@gmail.com</t>
  </si>
  <si>
    <t>Shashank Nayak</t>
  </si>
  <si>
    <t>nayakshashank999@gmail.com</t>
  </si>
  <si>
    <t>Ganesh Chaudhari</t>
  </si>
  <si>
    <t>ganeshchaudhari2004@gmail.com</t>
  </si>
  <si>
    <t>Viijayh Sangireddy</t>
  </si>
  <si>
    <t>vijayreddysangireddy7896@gmail.com</t>
  </si>
  <si>
    <t>Bhavyaa Goyal</t>
  </si>
  <si>
    <t>goyalbhavya2@gmail.com</t>
  </si>
  <si>
    <t>Dhanush Mandapati</t>
  </si>
  <si>
    <t>dhanushvarma004@gmail.com</t>
  </si>
  <si>
    <t>Nanda Bandi</t>
  </si>
  <si>
    <t>nandarishik.bandi13@gmail.com</t>
  </si>
  <si>
    <t>Rishaan Rathore</t>
  </si>
  <si>
    <t>rathorerishaan@gmail.com</t>
  </si>
  <si>
    <t>Ayush Chandra</t>
  </si>
  <si>
    <t>ayushchan2914@gmail.com</t>
  </si>
  <si>
    <t>Akshaya Bhat</t>
  </si>
  <si>
    <t>akshayabhat225@gmail.com</t>
  </si>
  <si>
    <t>Siddhi Thorat</t>
  </si>
  <si>
    <t>siddhithorat1976@gmail.com</t>
  </si>
  <si>
    <t>Aditi J</t>
  </si>
  <si>
    <t>aditi.j.in.in@gmail.com</t>
  </si>
  <si>
    <t>Rochelle Quadros</t>
  </si>
  <si>
    <t>rochellequadros04@gmail.com</t>
  </si>
  <si>
    <t>Chinmay Waranashiwar</t>
  </si>
  <si>
    <t>chinmayw0422@gmail.com</t>
  </si>
  <si>
    <t>Sai Yeramalli</t>
  </si>
  <si>
    <t>Ojasvi Mohapatra</t>
  </si>
  <si>
    <t>ashu.ojasvi@gmail.com</t>
  </si>
  <si>
    <t>Meher Jahnavi Pasumarty</t>
  </si>
  <si>
    <t>Aanjaneya Sharma</t>
  </si>
  <si>
    <t>aanjaneya0702@gmail.com</t>
  </si>
  <si>
    <t>Shrravan K</t>
  </si>
  <si>
    <t>Shrravan74@gmail.com</t>
  </si>
  <si>
    <t>Kevin Vaidyan</t>
  </si>
  <si>
    <t>kevinicloud261@gmail.com</t>
  </si>
  <si>
    <t>Paul Thomas</t>
  </si>
  <si>
    <t>paultettupara@gmail.com</t>
  </si>
  <si>
    <t>Sailesh Reddy Sathi</t>
  </si>
  <si>
    <t>saileshreddysathi24@gmail.com</t>
  </si>
  <si>
    <t>Damarla Kuladeep</t>
  </si>
  <si>
    <t>Kuladeepdamarla@gmail.com</t>
  </si>
  <si>
    <t>Pranil Pandya</t>
  </si>
  <si>
    <t>pranilpandya@gmail.com</t>
  </si>
  <si>
    <t>Shagnik Guha</t>
  </si>
  <si>
    <t>shagnikguha29@gmail.com</t>
  </si>
  <si>
    <t>Gaurang Kodimanianda</t>
  </si>
  <si>
    <t>gaurangkalappa4@gmail.com</t>
  </si>
  <si>
    <t>Aditya Inamdar</t>
  </si>
  <si>
    <t>adityainamdar44@gmail.com</t>
  </si>
  <si>
    <t>Shefali Prabhu</t>
  </si>
  <si>
    <t>9989019152dps@gmail.com</t>
  </si>
  <si>
    <t>Soumyabrata Banerjee</t>
  </si>
  <si>
    <t>soumyabratabanerjee70882@gmail.com</t>
  </si>
  <si>
    <t>Shreyas Bejjanky</t>
  </si>
  <si>
    <t>shreyas25.bejjanky@gmail.com</t>
  </si>
  <si>
    <t>Arya Koyyana</t>
  </si>
  <si>
    <t>aryasaikoyyana26@gmail.com</t>
  </si>
  <si>
    <t>Ankit Tojo</t>
  </si>
  <si>
    <t>ankittojo0017@gmail.com</t>
  </si>
  <si>
    <t>Tejas Patil</t>
  </si>
  <si>
    <t>anushri11sakhardande@gmail.com</t>
  </si>
  <si>
    <t>Accenture AASE</t>
  </si>
  <si>
    <t>Tanmay Gupta</t>
  </si>
  <si>
    <t>guptatanmay921@gmail.com</t>
  </si>
  <si>
    <t>Kishore Raj N G</t>
  </si>
  <si>
    <t>kishore040304@gmail.com</t>
  </si>
  <si>
    <t>Vuyyuru Reddy</t>
  </si>
  <si>
    <t>saikishorereddyvuyyuru@gmail.com</t>
  </si>
  <si>
    <t>Tejaswi A</t>
  </si>
  <si>
    <t>tejasviraj4th@gmail.com</t>
  </si>
  <si>
    <t xml:space="preserve">Aryan   </t>
  </si>
  <si>
    <t>itsaryan.me@gmail.com</t>
  </si>
  <si>
    <t>Yash Vanshraj</t>
  </si>
  <si>
    <t>yashvanshraj.444@gmail.com</t>
  </si>
  <si>
    <t>Ganesh S P</t>
  </si>
  <si>
    <t>ganesh.sp764@gmail.com</t>
  </si>
  <si>
    <t>Aryan Bhargava</t>
  </si>
  <si>
    <t>aryanbhargava85@gmail.com</t>
  </si>
  <si>
    <t>Anoushka Bhattacharya</t>
  </si>
  <si>
    <t>anoushkabhattacharya.2003@gmail.com</t>
  </si>
  <si>
    <t>Shreyansh Tandon</t>
  </si>
  <si>
    <t>shreyanshtandon3@gmail.com</t>
  </si>
  <si>
    <t>Siddharth Singh</t>
  </si>
  <si>
    <t>sidsingh70083@gmail.com</t>
  </si>
  <si>
    <t>Shrishanth S</t>
  </si>
  <si>
    <t>shreeshanths224@gmail.com</t>
  </si>
  <si>
    <t>Arnav Aggarwal</t>
  </si>
  <si>
    <t>arnavagg13@gmail.com</t>
  </si>
  <si>
    <t>R Uday Sri Kumar</t>
  </si>
  <si>
    <t>rudaysrikumar2004@gmail.com</t>
  </si>
  <si>
    <t>Accenture ASE</t>
  </si>
  <si>
    <t>Divit Chawla</t>
  </si>
  <si>
    <t>divitchawla7@gmail.com</t>
  </si>
  <si>
    <t>Pramath Ram</t>
  </si>
  <si>
    <t>rampramath@gmail.com</t>
  </si>
  <si>
    <t>Vedika Gupta</t>
  </si>
  <si>
    <t>vedikagupta507@gmail.com</t>
  </si>
  <si>
    <t>Akaash Sudhakar</t>
  </si>
  <si>
    <t>akaashsudhakar@gmail.com</t>
  </si>
  <si>
    <t>Ishan .</t>
  </si>
  <si>
    <t>ishan05801@gmail.com</t>
  </si>
  <si>
    <t>Kavya Bansal</t>
  </si>
  <si>
    <t>kavyabansal20904@gmail.com</t>
  </si>
  <si>
    <t>Dipanshu Varra</t>
  </si>
  <si>
    <t>dipanshuvarra@gmail.com</t>
  </si>
  <si>
    <t>Aaditya Sadangi</t>
  </si>
  <si>
    <t>aadityasadangi@gmail.com</t>
  </si>
  <si>
    <t>Vrinda Sharma</t>
  </si>
  <si>
    <t>vrindasharma2404@gmail.com</t>
  </si>
  <si>
    <t>Sanjeev Dronamraju</t>
  </si>
  <si>
    <t>sanjeevd1020@gmail.com</t>
  </si>
  <si>
    <t>adityasinghaks07@gmail.com</t>
  </si>
  <si>
    <t>Kesav Manoj</t>
  </si>
  <si>
    <t>kesavmanoj@gmail.com</t>
  </si>
  <si>
    <t>Sowmya Beduduri</t>
  </si>
  <si>
    <t>bedudurisowmyareddy@gmail.com</t>
  </si>
  <si>
    <t>Priyamsh Shetty</t>
  </si>
  <si>
    <t>spriyamsh@gmail.com</t>
  </si>
  <si>
    <t>Sannidhi Math</t>
  </si>
  <si>
    <t>sannidhimath@gmail.com</t>
  </si>
  <si>
    <t>Kaushik Desapalli</t>
  </si>
  <si>
    <t>kdesapalli@gmail.com</t>
  </si>
  <si>
    <t>Tanish Kadam</t>
  </si>
  <si>
    <t>7tanish@gmail.com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</si>
</sst>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sz val="12"/>
      <name val="Cambria"/>
      <family val="1"/>
    </font>
    <font>
      <sz val="10"/>
      <color rgb="FF000000"/>
      <name val="Arial"/>
      <family val="2"/>
    </font>
    <font>
      <b/>
      <sz val="12"/>
      <name val="Cambria"/>
      <family val="1"/>
      <scheme val="major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2"/>
      <name val="Cambria"/>
      <family val="1"/>
    </font>
  </fonts>
  <fills count="2">
    <fill>
      <patternFill patternType="none"/>
    </fill>
    <fill>
      <patternFill patternType="gray125"/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4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3" fontId="5" fillId="0" borderId="16" xfId="0" applyNumberFormat="1" applyFont="1" applyBorder="1" applyAlignment="1">
      <alignment horizontal="left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4" fontId="5" fillId="0" borderId="0" xfId="0" applyNumberFormat="1" applyFont="1" applyAlignment="1">
      <alignment horizontal="left" vertical="center" wrapText="1"/>
    </xf>
    <xf numFmtId="14" fontId="5" fillId="0" borderId="25" xfId="0" applyNumberFormat="1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 wrapText="1"/>
    </xf>
    <xf numFmtId="0" fontId="7" fillId="0" borderId="35" xfId="0" applyFont="1" applyBorder="1" applyAlignment="1">
      <alignment horizontal="left" vertical="center"/>
    </xf>
    <xf numFmtId="0" fontId="7" fillId="0" borderId="33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4" fillId="0" borderId="27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14" fontId="5" fillId="0" borderId="45" xfId="0" applyNumberFormat="1" applyFont="1" applyBorder="1" applyAlignment="1">
      <alignment horizontal="left" vertical="center" wrapText="1"/>
    </xf>
    <xf numFmtId="0" fontId="5" fillId="0" borderId="25" xfId="0" applyFont="1" applyBorder="1" applyAlignment="1">
      <alignment vertical="center" wrapText="1"/>
    </xf>
    <xf numFmtId="14" fontId="5" fillId="0" borderId="25" xfId="0" applyNumberFormat="1" applyFont="1" applyBorder="1" applyAlignment="1">
      <alignment horizontal="left" vertical="center" wrapText="1"/>
    </xf>
    <xf numFmtId="0" fontId="5" fillId="0" borderId="25" xfId="0" applyFont="1" applyBorder="1" applyAlignment="1">
      <alignment vertical="center"/>
    </xf>
    <xf numFmtId="0" fontId="5" fillId="0" borderId="25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25" xfId="0" applyFont="1" applyBorder="1" applyAlignment="1">
      <alignment vertical="center" wrapText="1"/>
    </xf>
    <xf numFmtId="0" fontId="5" fillId="0" borderId="12" xfId="0" applyFont="1" applyBorder="1" applyAlignment="1">
      <alignment vertical="center"/>
    </xf>
    <xf numFmtId="0" fontId="5" fillId="0" borderId="12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4" fontId="5" fillId="0" borderId="40" xfId="0" applyNumberFormat="1" applyFont="1" applyBorder="1" applyAlignment="1">
      <alignment horizontal="left" vertical="center" wrapText="1"/>
    </xf>
    <xf numFmtId="14" fontId="5" fillId="0" borderId="48" xfId="0" applyNumberFormat="1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left" vertical="center" wrapText="1"/>
    </xf>
    <xf numFmtId="0" fontId="5" fillId="0" borderId="38" xfId="0" applyFont="1" applyBorder="1" applyAlignment="1">
      <alignment horizontal="center" vertical="center"/>
    </xf>
    <xf numFmtId="14" fontId="5" fillId="0" borderId="28" xfId="0" applyNumberFormat="1" applyFont="1" applyBorder="1" applyAlignment="1">
      <alignment horizontal="left" vertical="center"/>
    </xf>
    <xf numFmtId="0" fontId="4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1" fontId="5" fillId="0" borderId="40" xfId="0" applyNumberFormat="1" applyFont="1" applyBorder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 wrapText="1"/>
    </xf>
    <xf numFmtId="1" fontId="5" fillId="0" borderId="14" xfId="0" applyNumberFormat="1" applyFont="1" applyBorder="1" applyAlignment="1">
      <alignment horizontal="center" vertical="center"/>
    </xf>
    <xf numFmtId="1" fontId="5" fillId="0" borderId="14" xfId="0" applyNumberFormat="1" applyFont="1" applyBorder="1" applyAlignment="1">
      <alignment horizontal="center" vertical="center" wrapText="1"/>
    </xf>
    <xf numFmtId="1" fontId="5" fillId="0" borderId="4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5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4" fillId="0" borderId="57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8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5" fillId="0" borderId="23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4" fontId="5" fillId="0" borderId="6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47" xfId="0" applyFont="1" applyBorder="1" applyAlignment="1">
      <alignment horizontal="left" vertical="center"/>
    </xf>
    <xf numFmtId="0" fontId="5" fillId="0" borderId="47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/>
    </xf>
    <xf numFmtId="0" fontId="4" fillId="0" borderId="49" xfId="0" applyFont="1" applyBorder="1" applyAlignment="1">
      <alignment horizontal="left" vertical="center" wrapText="1"/>
    </xf>
    <xf numFmtId="14" fontId="5" fillId="0" borderId="3" xfId="0" applyNumberFormat="1" applyFont="1" applyBorder="1" applyAlignment="1">
      <alignment horizontal="left" vertical="center"/>
    </xf>
    <xf numFmtId="0" fontId="5" fillId="0" borderId="47" xfId="0" applyFont="1" applyBorder="1" applyAlignment="1">
      <alignment horizontal="left" vertical="center"/>
    </xf>
    <xf numFmtId="0" fontId="4" fillId="0" borderId="60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7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left" vertical="center" wrapText="1"/>
    </xf>
    <xf numFmtId="0" fontId="4" fillId="0" borderId="60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left" vertical="center" wrapText="1"/>
    </xf>
    <xf numFmtId="0" fontId="5" fillId="0" borderId="62" xfId="0" applyFont="1" applyBorder="1" applyAlignment="1">
      <alignment horizontal="left" vertical="center"/>
    </xf>
    <xf numFmtId="3" fontId="5" fillId="0" borderId="24" xfId="0" applyNumberFormat="1" applyFont="1" applyBorder="1" applyAlignment="1">
      <alignment horizontal="left" vertical="center" wrapText="1"/>
    </xf>
    <xf numFmtId="3" fontId="5" fillId="0" borderId="15" xfId="0" applyNumberFormat="1" applyFont="1" applyBorder="1" applyAlignment="1">
      <alignment horizontal="left" vertical="center" wrapText="1"/>
    </xf>
    <xf numFmtId="3" fontId="5" fillId="0" borderId="15" xfId="0" applyNumberFormat="1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/>
    </xf>
    <xf numFmtId="0" fontId="5" fillId="0" borderId="49" xfId="0" applyFont="1" applyBorder="1" applyAlignment="1">
      <alignment horizontal="left" vertical="center" wrapText="1"/>
    </xf>
    <xf numFmtId="0" fontId="4" fillId="0" borderId="36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 readingOrder="1"/>
    </xf>
    <xf numFmtId="3" fontId="2" fillId="0" borderId="1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63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2000000}"/>
    <cellStyle name="Normal 4" xfId="2" xr:uid="{2B7AE4C2-D07C-46F3-9D47-8BECEA88DC9B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HE\Documents\PLACEMENT%20DATA\Internship\CAMPUS%20PLACEMENTS\PLACEMENT%202025-26\Academic%20Records%2026\B.Tech%20Master%202025-26.xlsx" TargetMode="External"/><Relationship Id="rId1" Type="http://schemas.openxmlformats.org/officeDocument/2006/relationships/externalLinkPath" Target="/Users/MAHE/Documents/PLACEMENT%20DATA/Internship/CAMPUS%20PLACEMENTS/PLACEMENT%202025-26/Academic%20Records%2026/B.Tech%20Master%202025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V"/>
      <sheetName val="BT"/>
      <sheetName val="CH"/>
      <sheetName val="CS"/>
      <sheetName val="AIML"/>
      <sheetName val="CC"/>
      <sheetName val="IT"/>
      <sheetName val="DS"/>
      <sheetName val="BM"/>
      <sheetName val="EC"/>
      <sheetName val="EE"/>
      <sheetName val="E&amp;I"/>
      <sheetName val="CPS"/>
      <sheetName val="AE"/>
      <sheetName val="AU"/>
      <sheetName val="IE"/>
      <sheetName val="ME"/>
      <sheetName val="MT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U4">
            <v>24</v>
          </cell>
        </row>
        <row r="5">
          <cell r="U5">
            <v>53</v>
          </cell>
        </row>
        <row r="6">
          <cell r="U6">
            <v>38</v>
          </cell>
        </row>
        <row r="7">
          <cell r="U7">
            <v>183</v>
          </cell>
        </row>
        <row r="8">
          <cell r="U8">
            <v>123</v>
          </cell>
        </row>
        <row r="9">
          <cell r="U9">
            <v>159</v>
          </cell>
        </row>
        <row r="10">
          <cell r="U10">
            <v>168</v>
          </cell>
        </row>
        <row r="11">
          <cell r="U11">
            <v>109</v>
          </cell>
        </row>
        <row r="12">
          <cell r="U12">
            <v>47</v>
          </cell>
        </row>
        <row r="13">
          <cell r="U13">
            <v>154</v>
          </cell>
        </row>
        <row r="14">
          <cell r="U14">
            <v>78</v>
          </cell>
        </row>
        <row r="15">
          <cell r="U15">
            <v>57</v>
          </cell>
        </row>
        <row r="16">
          <cell r="U16">
            <v>55</v>
          </cell>
        </row>
        <row r="17">
          <cell r="U17">
            <v>50</v>
          </cell>
        </row>
        <row r="18">
          <cell r="U18">
            <v>20</v>
          </cell>
        </row>
        <row r="19">
          <cell r="U19">
            <v>19</v>
          </cell>
        </row>
        <row r="20">
          <cell r="U20">
            <v>120</v>
          </cell>
        </row>
        <row r="21">
          <cell r="U21">
            <v>105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omisha22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6"/>
  <sheetViews>
    <sheetView showGridLines="0" topLeftCell="A116" zoomScaleNormal="100" workbookViewId="0">
      <selection activeCell="B122" sqref="B122:E122"/>
    </sheetView>
  </sheetViews>
  <sheetFormatPr defaultColWidth="8.54296875" defaultRowHeight="28.5" customHeight="1" x14ac:dyDescent="0.25"/>
  <cols>
    <col min="1" max="1" width="6.90625" style="4" customWidth="1"/>
    <col min="2" max="2" width="30.08984375" style="2" bestFit="1" customWidth="1"/>
    <col min="3" max="3" width="6.90625" style="2" customWidth="1"/>
    <col min="4" max="4" width="8.36328125" style="15" customWidth="1"/>
    <col min="5" max="5" width="15.90625" style="15" customWidth="1"/>
    <col min="6" max="23" width="6.08984375" style="4" customWidth="1"/>
    <col min="24" max="24" width="7.453125" style="4" customWidth="1"/>
    <col min="25" max="25" width="16.453125" style="4" customWidth="1"/>
    <col min="26" max="16384" width="8.54296875" style="2"/>
  </cols>
  <sheetData>
    <row r="1" spans="1:26" ht="28.5" customHeight="1" thickBot="1" x14ac:dyDescent="0.3">
      <c r="A1" s="169" t="s">
        <v>55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</row>
    <row r="2" spans="1:26" ht="28.5" customHeight="1" thickBot="1" x14ac:dyDescent="0.3">
      <c r="A2" s="175" t="s">
        <v>30</v>
      </c>
      <c r="B2" s="176"/>
      <c r="C2" s="176"/>
      <c r="D2" s="176"/>
      <c r="E2" s="176"/>
      <c r="F2" s="77" t="s">
        <v>25</v>
      </c>
      <c r="G2" s="171" t="s">
        <v>26</v>
      </c>
      <c r="H2" s="172"/>
      <c r="I2" s="166" t="s">
        <v>27</v>
      </c>
      <c r="J2" s="167"/>
      <c r="K2" s="167"/>
      <c r="L2" s="167"/>
      <c r="M2" s="168"/>
      <c r="N2" s="166" t="s">
        <v>28</v>
      </c>
      <c r="O2" s="167"/>
      <c r="P2" s="167"/>
      <c r="Q2" s="167"/>
      <c r="R2" s="168"/>
      <c r="S2" s="173" t="s">
        <v>29</v>
      </c>
      <c r="T2" s="174"/>
      <c r="U2" s="174"/>
      <c r="V2" s="174"/>
      <c r="W2" s="174"/>
      <c r="X2" s="32"/>
      <c r="Y2" s="78"/>
    </row>
    <row r="3" spans="1:26" ht="28.5" customHeight="1" x14ac:dyDescent="0.25">
      <c r="A3" s="107" t="s">
        <v>14</v>
      </c>
      <c r="B3" s="1" t="s">
        <v>36</v>
      </c>
      <c r="C3" s="1" t="s">
        <v>24</v>
      </c>
      <c r="D3" s="79" t="s">
        <v>23</v>
      </c>
      <c r="E3" s="80" t="s">
        <v>33</v>
      </c>
      <c r="F3" s="32" t="s">
        <v>15</v>
      </c>
      <c r="G3" s="30" t="s">
        <v>10</v>
      </c>
      <c r="H3" s="31" t="s">
        <v>8</v>
      </c>
      <c r="I3" s="30" t="s">
        <v>1</v>
      </c>
      <c r="J3" s="33" t="s">
        <v>40</v>
      </c>
      <c r="K3" s="8" t="s">
        <v>22</v>
      </c>
      <c r="L3" s="8" t="s">
        <v>2</v>
      </c>
      <c r="M3" s="31" t="s">
        <v>37</v>
      </c>
      <c r="N3" s="30" t="s">
        <v>9</v>
      </c>
      <c r="O3" s="8" t="s">
        <v>3</v>
      </c>
      <c r="P3" s="8" t="s">
        <v>4</v>
      </c>
      <c r="Q3" s="8" t="s">
        <v>38</v>
      </c>
      <c r="R3" s="9" t="s">
        <v>63</v>
      </c>
      <c r="S3" s="101" t="s">
        <v>16</v>
      </c>
      <c r="T3" s="81" t="s">
        <v>17</v>
      </c>
      <c r="U3" s="8" t="s">
        <v>7</v>
      </c>
      <c r="V3" s="8" t="s">
        <v>6</v>
      </c>
      <c r="W3" s="8" t="s">
        <v>13</v>
      </c>
      <c r="X3" s="111" t="s">
        <v>32</v>
      </c>
      <c r="Y3" s="82" t="s">
        <v>18</v>
      </c>
      <c r="Z3" s="50"/>
    </row>
    <row r="4" spans="1:26" ht="28.5" customHeight="1" thickBot="1" x14ac:dyDescent="0.3">
      <c r="A4" s="84"/>
      <c r="B4" s="73"/>
      <c r="C4" s="134"/>
      <c r="D4" s="79"/>
      <c r="E4" s="129"/>
      <c r="F4" s="61">
        <f>[1]Summary!$U$4</f>
        <v>24</v>
      </c>
      <c r="G4" s="85">
        <f>[1]Summary!$U$5</f>
        <v>53</v>
      </c>
      <c r="H4" s="110">
        <f>[1]Summary!$U$6</f>
        <v>38</v>
      </c>
      <c r="I4" s="85">
        <f>[1]Summary!$U$7</f>
        <v>183</v>
      </c>
      <c r="J4" s="99">
        <f>[1]Summary!$U$8</f>
        <v>123</v>
      </c>
      <c r="K4" s="117">
        <f>[1]Summary!$U$9</f>
        <v>159</v>
      </c>
      <c r="L4" s="117">
        <f>[1]Summary!$U$10</f>
        <v>168</v>
      </c>
      <c r="M4" s="137">
        <f>[1]Summary!$U$11</f>
        <v>109</v>
      </c>
      <c r="N4" s="85">
        <f>[1]Summary!$U$12</f>
        <v>47</v>
      </c>
      <c r="O4" s="117">
        <f>[1]Summary!$U$13</f>
        <v>154</v>
      </c>
      <c r="P4" s="117">
        <f>[1]Summary!$U$14</f>
        <v>78</v>
      </c>
      <c r="Q4" s="117">
        <f>[1]Summary!$U$15</f>
        <v>57</v>
      </c>
      <c r="R4" s="150">
        <f>[1]Summary!$U$16</f>
        <v>55</v>
      </c>
      <c r="S4" s="99">
        <f>[1]Summary!$U$17</f>
        <v>50</v>
      </c>
      <c r="T4" s="85">
        <f>[1]Summary!$U$18</f>
        <v>20</v>
      </c>
      <c r="U4" s="85">
        <f>[1]Summary!$U$19</f>
        <v>19</v>
      </c>
      <c r="V4" s="85">
        <f>[1]Summary!$U$20</f>
        <v>120</v>
      </c>
      <c r="W4" s="85">
        <f>[1]Summary!$U$21</f>
        <v>105</v>
      </c>
      <c r="X4" s="111">
        <f t="shared" ref="X4:X67" si="0">SUM(F4:W4)</f>
        <v>1562</v>
      </c>
      <c r="Y4" s="83"/>
    </row>
    <row r="5" spans="1:26" ht="28.5" customHeight="1" x14ac:dyDescent="0.25">
      <c r="A5" s="20">
        <v>1</v>
      </c>
      <c r="B5" s="51" t="s">
        <v>74</v>
      </c>
      <c r="C5" s="51" t="s">
        <v>19</v>
      </c>
      <c r="D5" s="54" t="s">
        <v>44</v>
      </c>
      <c r="E5" s="67">
        <v>45771</v>
      </c>
      <c r="F5" s="21"/>
      <c r="G5" s="23"/>
      <c r="H5" s="88"/>
      <c r="I5" s="23"/>
      <c r="J5" s="86">
        <v>1</v>
      </c>
      <c r="K5" s="20"/>
      <c r="L5" s="20"/>
      <c r="M5" s="88"/>
      <c r="N5" s="23"/>
      <c r="O5" s="20"/>
      <c r="P5" s="20"/>
      <c r="Q5" s="20"/>
      <c r="R5" s="24"/>
      <c r="S5" s="86"/>
      <c r="T5" s="20"/>
      <c r="U5" s="20"/>
      <c r="V5" s="20"/>
      <c r="W5" s="20"/>
      <c r="X5" s="41">
        <f t="shared" si="0"/>
        <v>1</v>
      </c>
      <c r="Y5" s="87">
        <v>1200000</v>
      </c>
    </row>
    <row r="6" spans="1:26" ht="28.5" customHeight="1" x14ac:dyDescent="0.25">
      <c r="A6" s="20">
        <v>2</v>
      </c>
      <c r="B6" s="51" t="s">
        <v>70</v>
      </c>
      <c r="C6" s="51" t="s">
        <v>20</v>
      </c>
      <c r="D6" s="54" t="s">
        <v>43</v>
      </c>
      <c r="E6" s="96">
        <v>45812</v>
      </c>
      <c r="F6" s="21"/>
      <c r="G6" s="23"/>
      <c r="H6" s="88"/>
      <c r="I6" s="23">
        <v>2</v>
      </c>
      <c r="J6" s="86"/>
      <c r="K6" s="20"/>
      <c r="L6" s="20"/>
      <c r="M6" s="88"/>
      <c r="N6" s="25"/>
      <c r="O6" s="6"/>
      <c r="P6" s="6"/>
      <c r="Q6" s="6"/>
      <c r="R6" s="13"/>
      <c r="S6" s="86"/>
      <c r="T6" s="20"/>
      <c r="U6" s="20"/>
      <c r="V6" s="20"/>
      <c r="W6" s="20"/>
      <c r="X6" s="41">
        <f t="shared" si="0"/>
        <v>2</v>
      </c>
      <c r="Y6" s="87">
        <v>2478000</v>
      </c>
    </row>
    <row r="7" spans="1:26" ht="28.5" customHeight="1" x14ac:dyDescent="0.25">
      <c r="A7" s="20">
        <v>3</v>
      </c>
      <c r="B7" s="51" t="s">
        <v>77</v>
      </c>
      <c r="C7" s="51" t="s">
        <v>20</v>
      </c>
      <c r="D7" s="3" t="s">
        <v>72</v>
      </c>
      <c r="E7" s="52">
        <v>45859</v>
      </c>
      <c r="F7" s="21"/>
      <c r="G7" s="23"/>
      <c r="H7" s="88"/>
      <c r="I7" s="25">
        <v>2</v>
      </c>
      <c r="J7" s="76"/>
      <c r="K7" s="6">
        <v>3</v>
      </c>
      <c r="L7" s="6"/>
      <c r="M7" s="35"/>
      <c r="N7" s="25"/>
      <c r="O7" s="6"/>
      <c r="P7" s="6"/>
      <c r="Q7" s="6"/>
      <c r="R7" s="13"/>
      <c r="S7" s="86"/>
      <c r="T7" s="20"/>
      <c r="U7" s="20"/>
      <c r="V7" s="20"/>
      <c r="W7" s="20"/>
      <c r="X7" s="41">
        <f t="shared" si="0"/>
        <v>5</v>
      </c>
      <c r="Y7" s="87">
        <v>3000000</v>
      </c>
    </row>
    <row r="8" spans="1:26" ht="28.5" customHeight="1" x14ac:dyDescent="0.25">
      <c r="A8" s="20">
        <v>4</v>
      </c>
      <c r="B8" s="66" t="s">
        <v>78</v>
      </c>
      <c r="C8" s="66" t="s">
        <v>20</v>
      </c>
      <c r="D8" s="3" t="s">
        <v>41</v>
      </c>
      <c r="E8" s="67">
        <v>45859</v>
      </c>
      <c r="F8" s="22"/>
      <c r="G8" s="23"/>
      <c r="H8" s="88"/>
      <c r="I8" s="25">
        <v>1</v>
      </c>
      <c r="J8" s="76"/>
      <c r="K8" s="6"/>
      <c r="L8" s="6">
        <v>1</v>
      </c>
      <c r="M8" s="35"/>
      <c r="N8" s="25"/>
      <c r="O8" s="6">
        <v>3</v>
      </c>
      <c r="P8" s="6"/>
      <c r="Q8" s="6"/>
      <c r="R8" s="13"/>
      <c r="S8" s="86"/>
      <c r="T8" s="20"/>
      <c r="U8" s="20"/>
      <c r="V8" s="20"/>
      <c r="W8" s="20"/>
      <c r="X8" s="42">
        <f t="shared" si="0"/>
        <v>5</v>
      </c>
      <c r="Y8" s="87">
        <v>2181000</v>
      </c>
    </row>
    <row r="9" spans="1:26" ht="28.5" customHeight="1" x14ac:dyDescent="0.25">
      <c r="A9" s="20">
        <v>5</v>
      </c>
      <c r="B9" s="51" t="s">
        <v>79</v>
      </c>
      <c r="C9" s="3" t="s">
        <v>20</v>
      </c>
      <c r="D9" s="3" t="s">
        <v>72</v>
      </c>
      <c r="E9" s="67">
        <v>45860</v>
      </c>
      <c r="F9" s="22"/>
      <c r="G9" s="25"/>
      <c r="H9" s="35"/>
      <c r="I9" s="25"/>
      <c r="J9" s="76"/>
      <c r="K9" s="6">
        <v>1</v>
      </c>
      <c r="L9" s="6"/>
      <c r="M9" s="35"/>
      <c r="N9" s="25"/>
      <c r="O9" s="6"/>
      <c r="P9" s="6"/>
      <c r="Q9" s="6"/>
      <c r="R9" s="13"/>
      <c r="S9" s="102"/>
      <c r="T9" s="6"/>
      <c r="U9" s="6"/>
      <c r="V9" s="6"/>
      <c r="W9" s="6"/>
      <c r="X9" s="42">
        <f t="shared" si="0"/>
        <v>1</v>
      </c>
      <c r="Y9" s="22">
        <v>3000000</v>
      </c>
    </row>
    <row r="10" spans="1:26" ht="28.5" customHeight="1" x14ac:dyDescent="0.25">
      <c r="A10" s="20">
        <v>6</v>
      </c>
      <c r="B10" s="51" t="s">
        <v>83</v>
      </c>
      <c r="C10" s="3" t="s">
        <v>20</v>
      </c>
      <c r="D10" s="3" t="s">
        <v>84</v>
      </c>
      <c r="E10" s="67">
        <v>45862</v>
      </c>
      <c r="F10" s="22"/>
      <c r="G10" s="25"/>
      <c r="H10" s="35">
        <v>1</v>
      </c>
      <c r="I10" s="25"/>
      <c r="J10" s="76"/>
      <c r="K10" s="6"/>
      <c r="L10" s="6"/>
      <c r="M10" s="35"/>
      <c r="N10" s="25"/>
      <c r="O10" s="6"/>
      <c r="P10" s="6"/>
      <c r="Q10" s="6">
        <v>1</v>
      </c>
      <c r="R10" s="13"/>
      <c r="S10" s="102"/>
      <c r="T10" s="6"/>
      <c r="U10" s="6"/>
      <c r="V10" s="6"/>
      <c r="W10" s="6"/>
      <c r="X10" s="42">
        <f t="shared" si="0"/>
        <v>2</v>
      </c>
      <c r="Y10" s="22">
        <v>1400000</v>
      </c>
    </row>
    <row r="11" spans="1:26" ht="28.5" customHeight="1" x14ac:dyDescent="0.25">
      <c r="A11" s="20">
        <v>7</v>
      </c>
      <c r="B11" s="66" t="s">
        <v>87</v>
      </c>
      <c r="C11" s="66" t="s">
        <v>20</v>
      </c>
      <c r="D11" s="3" t="s">
        <v>41</v>
      </c>
      <c r="E11" s="92">
        <v>45863</v>
      </c>
      <c r="F11" s="22"/>
      <c r="G11" s="23"/>
      <c r="H11" s="88"/>
      <c r="I11" s="25"/>
      <c r="J11" s="76">
        <v>5</v>
      </c>
      <c r="K11" s="6"/>
      <c r="L11" s="6">
        <v>2</v>
      </c>
      <c r="M11" s="35"/>
      <c r="N11" s="25"/>
      <c r="O11" s="6"/>
      <c r="P11" s="6"/>
      <c r="Q11" s="6"/>
      <c r="R11" s="13"/>
      <c r="S11" s="86"/>
      <c r="T11" s="20"/>
      <c r="U11" s="20"/>
      <c r="V11" s="20"/>
      <c r="W11" s="20"/>
      <c r="X11" s="42">
        <f t="shared" si="0"/>
        <v>7</v>
      </c>
      <c r="Y11" s="87">
        <v>2000000</v>
      </c>
    </row>
    <row r="12" spans="1:26" ht="28.5" customHeight="1" x14ac:dyDescent="0.25">
      <c r="A12" s="20">
        <v>8</v>
      </c>
      <c r="B12" s="51" t="s">
        <v>88</v>
      </c>
      <c r="C12" s="51" t="s">
        <v>19</v>
      </c>
      <c r="D12" s="54" t="s">
        <v>41</v>
      </c>
      <c r="E12" s="92">
        <v>45864</v>
      </c>
      <c r="F12" s="22"/>
      <c r="G12" s="23"/>
      <c r="H12" s="88"/>
      <c r="I12" s="25"/>
      <c r="J12" s="76">
        <v>1</v>
      </c>
      <c r="K12" s="6"/>
      <c r="L12" s="6"/>
      <c r="M12" s="35"/>
      <c r="N12" s="25"/>
      <c r="O12" s="6"/>
      <c r="P12" s="6"/>
      <c r="Q12" s="6"/>
      <c r="R12" s="13"/>
      <c r="S12" s="86"/>
      <c r="T12" s="20"/>
      <c r="U12" s="20"/>
      <c r="V12" s="20"/>
      <c r="W12" s="20"/>
      <c r="X12" s="42">
        <f t="shared" si="0"/>
        <v>1</v>
      </c>
      <c r="Y12" s="87">
        <v>4100399</v>
      </c>
    </row>
    <row r="13" spans="1:26" ht="28.5" customHeight="1" x14ac:dyDescent="0.25">
      <c r="A13" s="20">
        <v>9</v>
      </c>
      <c r="B13" s="51" t="s">
        <v>90</v>
      </c>
      <c r="C13" s="51" t="s">
        <v>19</v>
      </c>
      <c r="D13" s="3" t="s">
        <v>42</v>
      </c>
      <c r="E13" s="67">
        <v>45867</v>
      </c>
      <c r="F13" s="22"/>
      <c r="G13" s="23"/>
      <c r="H13" s="88"/>
      <c r="I13" s="25"/>
      <c r="J13" s="76"/>
      <c r="K13" s="6"/>
      <c r="L13" s="6"/>
      <c r="M13" s="35"/>
      <c r="N13" s="25"/>
      <c r="O13" s="6">
        <v>2</v>
      </c>
      <c r="P13" s="6"/>
      <c r="Q13" s="6"/>
      <c r="R13" s="13"/>
      <c r="S13" s="86"/>
      <c r="T13" s="20"/>
      <c r="U13" s="20"/>
      <c r="V13" s="20">
        <v>2</v>
      </c>
      <c r="W13" s="20">
        <v>1</v>
      </c>
      <c r="X13" s="42">
        <f t="shared" si="0"/>
        <v>5</v>
      </c>
      <c r="Y13" s="87">
        <v>750000</v>
      </c>
    </row>
    <row r="14" spans="1:26" ht="28.5" customHeight="1" x14ac:dyDescent="0.25">
      <c r="A14" s="20">
        <v>10</v>
      </c>
      <c r="B14" s="51" t="s">
        <v>91</v>
      </c>
      <c r="C14" s="51" t="s">
        <v>19</v>
      </c>
      <c r="D14" s="3" t="s">
        <v>72</v>
      </c>
      <c r="E14" s="67">
        <v>45867</v>
      </c>
      <c r="F14" s="22"/>
      <c r="G14" s="23"/>
      <c r="H14" s="88"/>
      <c r="I14" s="25"/>
      <c r="J14" s="76"/>
      <c r="K14" s="6"/>
      <c r="L14" s="6">
        <v>2</v>
      </c>
      <c r="M14" s="35"/>
      <c r="N14" s="25"/>
      <c r="O14" s="6"/>
      <c r="P14" s="6"/>
      <c r="Q14" s="6"/>
      <c r="R14" s="13"/>
      <c r="S14" s="86"/>
      <c r="T14" s="20"/>
      <c r="U14" s="20"/>
      <c r="V14" s="20"/>
      <c r="W14" s="20"/>
      <c r="X14" s="42">
        <f t="shared" si="0"/>
        <v>2</v>
      </c>
      <c r="Y14" s="87">
        <v>3430600</v>
      </c>
    </row>
    <row r="15" spans="1:26" ht="28.5" customHeight="1" x14ac:dyDescent="0.25">
      <c r="A15" s="20">
        <v>11</v>
      </c>
      <c r="B15" s="51" t="s">
        <v>95</v>
      </c>
      <c r="C15" s="51" t="s">
        <v>20</v>
      </c>
      <c r="D15" s="54" t="s">
        <v>46</v>
      </c>
      <c r="E15" s="67">
        <v>45869</v>
      </c>
      <c r="F15" s="22"/>
      <c r="G15" s="25"/>
      <c r="H15" s="35"/>
      <c r="I15" s="25">
        <v>1</v>
      </c>
      <c r="J15" s="76"/>
      <c r="K15" s="6">
        <v>1</v>
      </c>
      <c r="L15" s="6">
        <v>1</v>
      </c>
      <c r="M15" s="35"/>
      <c r="N15" s="25"/>
      <c r="O15" s="6"/>
      <c r="P15" s="6"/>
      <c r="Q15" s="6"/>
      <c r="R15" s="13"/>
      <c r="S15" s="102"/>
      <c r="T15" s="6"/>
      <c r="U15" s="6"/>
      <c r="V15" s="6"/>
      <c r="W15" s="6"/>
      <c r="X15" s="42">
        <f t="shared" si="0"/>
        <v>3</v>
      </c>
      <c r="Y15" s="22">
        <v>1620012</v>
      </c>
    </row>
    <row r="16" spans="1:26" ht="28.5" customHeight="1" x14ac:dyDescent="0.25">
      <c r="A16" s="20">
        <v>12</v>
      </c>
      <c r="B16" s="51" t="s">
        <v>100</v>
      </c>
      <c r="C16" s="3" t="s">
        <v>19</v>
      </c>
      <c r="D16" s="3" t="s">
        <v>42</v>
      </c>
      <c r="E16" s="67">
        <v>45874</v>
      </c>
      <c r="F16" s="22"/>
      <c r="G16" s="25"/>
      <c r="H16" s="35"/>
      <c r="I16" s="25"/>
      <c r="J16" s="76">
        <v>2</v>
      </c>
      <c r="K16" s="6"/>
      <c r="L16" s="6">
        <v>4</v>
      </c>
      <c r="M16" s="35"/>
      <c r="N16" s="25"/>
      <c r="O16" s="6">
        <v>1</v>
      </c>
      <c r="P16" s="6"/>
      <c r="Q16" s="6"/>
      <c r="R16" s="13"/>
      <c r="S16" s="102">
        <v>1</v>
      </c>
      <c r="T16" s="6"/>
      <c r="U16" s="6"/>
      <c r="V16" s="6"/>
      <c r="W16" s="6"/>
      <c r="X16" s="42">
        <f t="shared" si="0"/>
        <v>8</v>
      </c>
      <c r="Y16" s="22">
        <v>1088038</v>
      </c>
    </row>
    <row r="17" spans="1:25" ht="28.5" customHeight="1" x14ac:dyDescent="0.25">
      <c r="A17" s="20">
        <v>13</v>
      </c>
      <c r="B17" s="51" t="s">
        <v>99</v>
      </c>
      <c r="C17" s="3" t="s">
        <v>20</v>
      </c>
      <c r="D17" s="3" t="s">
        <v>72</v>
      </c>
      <c r="E17" s="67">
        <v>45874</v>
      </c>
      <c r="F17" s="22"/>
      <c r="G17" s="25"/>
      <c r="H17" s="35"/>
      <c r="I17" s="25">
        <v>2</v>
      </c>
      <c r="J17" s="76"/>
      <c r="K17" s="6">
        <v>1</v>
      </c>
      <c r="L17" s="6"/>
      <c r="M17" s="35"/>
      <c r="N17" s="25"/>
      <c r="O17" s="6"/>
      <c r="P17" s="6"/>
      <c r="Q17" s="6"/>
      <c r="R17" s="13"/>
      <c r="S17" s="102"/>
      <c r="T17" s="6"/>
      <c r="U17" s="6"/>
      <c r="V17" s="6"/>
      <c r="W17" s="6"/>
      <c r="X17" s="42">
        <f t="shared" ref="X17" si="1">SUM(F17:W17)</f>
        <v>3</v>
      </c>
      <c r="Y17" s="22">
        <v>1975000</v>
      </c>
    </row>
    <row r="18" spans="1:25" ht="28.5" customHeight="1" x14ac:dyDescent="0.25">
      <c r="A18" s="20">
        <v>14</v>
      </c>
      <c r="B18" s="59" t="s">
        <v>101</v>
      </c>
      <c r="C18" s="51" t="s">
        <v>20</v>
      </c>
      <c r="D18" s="3" t="s">
        <v>72</v>
      </c>
      <c r="E18" s="53">
        <v>45876</v>
      </c>
      <c r="F18" s="22"/>
      <c r="G18" s="23"/>
      <c r="H18" s="88"/>
      <c r="I18" s="25"/>
      <c r="J18" s="76">
        <v>1</v>
      </c>
      <c r="K18" s="6"/>
      <c r="L18" s="6"/>
      <c r="M18" s="35"/>
      <c r="N18" s="25"/>
      <c r="O18" s="6"/>
      <c r="P18" s="6"/>
      <c r="Q18" s="6"/>
      <c r="R18" s="13"/>
      <c r="S18" s="86"/>
      <c r="T18" s="20"/>
      <c r="U18" s="20"/>
      <c r="V18" s="20"/>
      <c r="W18" s="20"/>
      <c r="X18" s="42">
        <f t="shared" si="0"/>
        <v>1</v>
      </c>
      <c r="Y18" s="87">
        <v>1657000</v>
      </c>
    </row>
    <row r="19" spans="1:25" ht="28.5" customHeight="1" x14ac:dyDescent="0.25">
      <c r="A19" s="20">
        <v>15</v>
      </c>
      <c r="B19" s="51" t="s">
        <v>102</v>
      </c>
      <c r="C19" s="51" t="s">
        <v>20</v>
      </c>
      <c r="D19" s="3" t="s">
        <v>41</v>
      </c>
      <c r="E19" s="67">
        <v>45876</v>
      </c>
      <c r="F19" s="22"/>
      <c r="G19" s="25"/>
      <c r="H19" s="35"/>
      <c r="I19" s="25">
        <v>1</v>
      </c>
      <c r="J19" s="76"/>
      <c r="K19" s="6"/>
      <c r="L19" s="6"/>
      <c r="M19" s="35"/>
      <c r="N19" s="25"/>
      <c r="O19" s="6"/>
      <c r="P19" s="6"/>
      <c r="Q19" s="6"/>
      <c r="R19" s="13"/>
      <c r="S19" s="76"/>
      <c r="T19" s="6"/>
      <c r="U19" s="6"/>
      <c r="V19" s="6"/>
      <c r="W19" s="6"/>
      <c r="X19" s="42">
        <f t="shared" si="0"/>
        <v>1</v>
      </c>
      <c r="Y19" s="87">
        <v>2200000</v>
      </c>
    </row>
    <row r="20" spans="1:25" ht="28.5" customHeight="1" x14ac:dyDescent="0.25">
      <c r="A20" s="20">
        <v>16</v>
      </c>
      <c r="B20" s="51" t="s">
        <v>103</v>
      </c>
      <c r="C20" s="51" t="s">
        <v>20</v>
      </c>
      <c r="D20" s="54" t="s">
        <v>41</v>
      </c>
      <c r="E20" s="67">
        <v>45877</v>
      </c>
      <c r="F20" s="22"/>
      <c r="G20" s="25"/>
      <c r="H20" s="35"/>
      <c r="I20" s="25">
        <v>1</v>
      </c>
      <c r="J20" s="76">
        <v>3</v>
      </c>
      <c r="K20" s="6">
        <v>1</v>
      </c>
      <c r="L20" s="6">
        <v>1</v>
      </c>
      <c r="M20" s="35"/>
      <c r="N20" s="25"/>
      <c r="O20" s="6"/>
      <c r="P20" s="6"/>
      <c r="Q20" s="6"/>
      <c r="R20" s="13"/>
      <c r="S20" s="76"/>
      <c r="T20" s="6"/>
      <c r="U20" s="6"/>
      <c r="V20" s="6"/>
      <c r="W20" s="6"/>
      <c r="X20" s="42">
        <f t="shared" si="0"/>
        <v>6</v>
      </c>
      <c r="Y20" s="87">
        <v>2136442</v>
      </c>
    </row>
    <row r="21" spans="1:25" ht="28.5" customHeight="1" x14ac:dyDescent="0.25">
      <c r="A21" s="20">
        <v>17</v>
      </c>
      <c r="B21" s="74" t="s">
        <v>104</v>
      </c>
      <c r="C21" s="75" t="s">
        <v>19</v>
      </c>
      <c r="D21" s="3" t="s">
        <v>72</v>
      </c>
      <c r="E21" s="65">
        <v>45880</v>
      </c>
      <c r="F21" s="22"/>
      <c r="G21" s="25"/>
      <c r="H21" s="35"/>
      <c r="I21" s="25"/>
      <c r="J21" s="76">
        <v>1</v>
      </c>
      <c r="K21" s="6">
        <v>1</v>
      </c>
      <c r="L21" s="6"/>
      <c r="M21" s="35"/>
      <c r="N21" s="25"/>
      <c r="O21" s="6"/>
      <c r="P21" s="6"/>
      <c r="Q21" s="6"/>
      <c r="R21" s="13"/>
      <c r="S21" s="102"/>
      <c r="T21" s="6"/>
      <c r="U21" s="6"/>
      <c r="V21" s="6"/>
      <c r="W21" s="6"/>
      <c r="X21" s="42">
        <f t="shared" si="0"/>
        <v>2</v>
      </c>
      <c r="Y21" s="22">
        <v>2400000</v>
      </c>
    </row>
    <row r="22" spans="1:25" ht="28.5" customHeight="1" x14ac:dyDescent="0.25">
      <c r="A22" s="20">
        <v>18</v>
      </c>
      <c r="B22" s="51" t="s">
        <v>105</v>
      </c>
      <c r="C22" s="3" t="s">
        <v>20</v>
      </c>
      <c r="D22" s="3" t="s">
        <v>41</v>
      </c>
      <c r="E22" s="67">
        <v>45880</v>
      </c>
      <c r="F22" s="22"/>
      <c r="G22" s="25"/>
      <c r="H22" s="35"/>
      <c r="I22" s="25">
        <v>1</v>
      </c>
      <c r="J22" s="76">
        <v>2</v>
      </c>
      <c r="K22" s="6">
        <v>2</v>
      </c>
      <c r="L22" s="6"/>
      <c r="M22" s="35">
        <v>2</v>
      </c>
      <c r="N22" s="25"/>
      <c r="O22" s="6">
        <v>1</v>
      </c>
      <c r="P22" s="6"/>
      <c r="Q22" s="6"/>
      <c r="R22" s="13"/>
      <c r="S22" s="102"/>
      <c r="T22" s="6"/>
      <c r="U22" s="6"/>
      <c r="V22" s="6"/>
      <c r="W22" s="6"/>
      <c r="X22" s="42">
        <f t="shared" si="0"/>
        <v>8</v>
      </c>
      <c r="Y22" s="22">
        <v>2350000</v>
      </c>
    </row>
    <row r="23" spans="1:25" ht="28.5" customHeight="1" x14ac:dyDescent="0.25">
      <c r="A23" s="20">
        <v>19</v>
      </c>
      <c r="B23" s="51" t="s">
        <v>106</v>
      </c>
      <c r="C23" s="3" t="s">
        <v>19</v>
      </c>
      <c r="D23" s="3" t="s">
        <v>72</v>
      </c>
      <c r="E23" s="67">
        <v>45882</v>
      </c>
      <c r="F23" s="22"/>
      <c r="G23" s="25"/>
      <c r="H23" s="35"/>
      <c r="I23" s="25"/>
      <c r="J23" s="76"/>
      <c r="K23" s="6">
        <v>1</v>
      </c>
      <c r="L23" s="6"/>
      <c r="M23" s="35">
        <v>1</v>
      </c>
      <c r="N23" s="25"/>
      <c r="O23" s="6"/>
      <c r="P23" s="6"/>
      <c r="Q23" s="6"/>
      <c r="R23" s="13"/>
      <c r="S23" s="102"/>
      <c r="T23" s="6"/>
      <c r="U23" s="6"/>
      <c r="V23" s="6"/>
      <c r="W23" s="6"/>
      <c r="X23" s="42">
        <f t="shared" si="0"/>
        <v>2</v>
      </c>
      <c r="Y23" s="22">
        <v>1975000</v>
      </c>
    </row>
    <row r="24" spans="1:25" ht="28.5" customHeight="1" x14ac:dyDescent="0.25">
      <c r="A24" s="20">
        <v>20</v>
      </c>
      <c r="B24" s="51" t="s">
        <v>97</v>
      </c>
      <c r="C24" s="3" t="s">
        <v>20</v>
      </c>
      <c r="D24" s="3" t="s">
        <v>41</v>
      </c>
      <c r="E24" s="67">
        <v>45882</v>
      </c>
      <c r="F24" s="22"/>
      <c r="G24" s="25"/>
      <c r="H24" s="35"/>
      <c r="I24" s="25">
        <v>2</v>
      </c>
      <c r="J24" s="76">
        <v>1</v>
      </c>
      <c r="K24" s="6">
        <v>4</v>
      </c>
      <c r="L24" s="6">
        <v>8</v>
      </c>
      <c r="M24" s="35">
        <v>2</v>
      </c>
      <c r="N24" s="25"/>
      <c r="O24" s="6">
        <v>1</v>
      </c>
      <c r="P24" s="6"/>
      <c r="Q24" s="6"/>
      <c r="R24" s="13"/>
      <c r="S24" s="102"/>
      <c r="T24" s="6"/>
      <c r="U24" s="6"/>
      <c r="V24" s="6"/>
      <c r="W24" s="6"/>
      <c r="X24" s="42">
        <f t="shared" si="0"/>
        <v>18</v>
      </c>
      <c r="Y24" s="22">
        <v>2602080</v>
      </c>
    </row>
    <row r="25" spans="1:25" ht="28.5" customHeight="1" x14ac:dyDescent="0.25">
      <c r="A25" s="20">
        <v>21</v>
      </c>
      <c r="B25" s="51" t="s">
        <v>108</v>
      </c>
      <c r="C25" s="3" t="s">
        <v>19</v>
      </c>
      <c r="D25" s="3" t="s">
        <v>72</v>
      </c>
      <c r="E25" s="67">
        <v>45886</v>
      </c>
      <c r="F25" s="22"/>
      <c r="G25" s="25"/>
      <c r="H25" s="35"/>
      <c r="I25" s="25">
        <v>1</v>
      </c>
      <c r="J25" s="76">
        <v>1</v>
      </c>
      <c r="K25" s="6"/>
      <c r="L25" s="6">
        <v>1</v>
      </c>
      <c r="M25" s="35">
        <v>1</v>
      </c>
      <c r="N25" s="25"/>
      <c r="O25" s="6"/>
      <c r="P25" s="6"/>
      <c r="Q25" s="6"/>
      <c r="R25" s="13"/>
      <c r="S25" s="102"/>
      <c r="T25" s="6"/>
      <c r="U25" s="6"/>
      <c r="V25" s="6"/>
      <c r="W25" s="6"/>
      <c r="X25" s="42">
        <f t="shared" si="0"/>
        <v>4</v>
      </c>
      <c r="Y25" s="22">
        <v>2200000</v>
      </c>
    </row>
    <row r="26" spans="1:25" ht="28.5" customHeight="1" x14ac:dyDescent="0.25">
      <c r="A26" s="20">
        <v>22</v>
      </c>
      <c r="B26" s="51" t="s">
        <v>109</v>
      </c>
      <c r="C26" s="51" t="s">
        <v>19</v>
      </c>
      <c r="D26" s="54" t="s">
        <v>41</v>
      </c>
      <c r="E26" s="53">
        <v>45888</v>
      </c>
      <c r="F26" s="22"/>
      <c r="G26" s="25"/>
      <c r="H26" s="35"/>
      <c r="I26" s="25">
        <v>3</v>
      </c>
      <c r="J26" s="76"/>
      <c r="K26" s="6">
        <v>2</v>
      </c>
      <c r="L26" s="6">
        <v>1</v>
      </c>
      <c r="M26" s="35"/>
      <c r="N26" s="25"/>
      <c r="O26" s="6"/>
      <c r="P26" s="6"/>
      <c r="Q26" s="6"/>
      <c r="R26" s="13"/>
      <c r="S26" s="102"/>
      <c r="T26" s="6"/>
      <c r="U26" s="6"/>
      <c r="V26" s="6"/>
      <c r="W26" s="6"/>
      <c r="X26" s="42">
        <f t="shared" si="0"/>
        <v>6</v>
      </c>
      <c r="Y26" s="22">
        <v>5100000</v>
      </c>
    </row>
    <row r="27" spans="1:25" ht="28.5" customHeight="1" x14ac:dyDescent="0.25">
      <c r="A27" s="20">
        <v>23</v>
      </c>
      <c r="B27" s="51" t="s">
        <v>110</v>
      </c>
      <c r="C27" s="3" t="s">
        <v>20</v>
      </c>
      <c r="D27" s="3" t="s">
        <v>72</v>
      </c>
      <c r="E27" s="67">
        <v>45888</v>
      </c>
      <c r="F27" s="22"/>
      <c r="G27" s="25"/>
      <c r="H27" s="35"/>
      <c r="I27" s="25">
        <v>1</v>
      </c>
      <c r="J27" s="76"/>
      <c r="K27" s="6"/>
      <c r="L27" s="6">
        <v>2</v>
      </c>
      <c r="M27" s="35">
        <v>1</v>
      </c>
      <c r="N27" s="25"/>
      <c r="O27" s="6"/>
      <c r="P27" s="6"/>
      <c r="Q27" s="6"/>
      <c r="R27" s="13"/>
      <c r="S27" s="76"/>
      <c r="T27" s="6"/>
      <c r="U27" s="6"/>
      <c r="V27" s="6"/>
      <c r="W27" s="6"/>
      <c r="X27" s="42">
        <f t="shared" si="0"/>
        <v>4</v>
      </c>
      <c r="Y27" s="87">
        <v>1900000</v>
      </c>
    </row>
    <row r="28" spans="1:25" ht="28.5" customHeight="1" x14ac:dyDescent="0.25">
      <c r="A28" s="20">
        <v>24</v>
      </c>
      <c r="B28" s="51" t="s">
        <v>111</v>
      </c>
      <c r="C28" s="3" t="s">
        <v>20</v>
      </c>
      <c r="D28" s="3" t="s">
        <v>41</v>
      </c>
      <c r="E28" s="67">
        <v>45889</v>
      </c>
      <c r="F28" s="22"/>
      <c r="G28" s="25"/>
      <c r="H28" s="35"/>
      <c r="I28" s="25"/>
      <c r="J28" s="76"/>
      <c r="K28" s="6"/>
      <c r="L28" s="6">
        <v>1</v>
      </c>
      <c r="M28" s="35">
        <v>2</v>
      </c>
      <c r="N28" s="25"/>
      <c r="O28" s="6"/>
      <c r="P28" s="6"/>
      <c r="Q28" s="6"/>
      <c r="R28" s="13"/>
      <c r="S28" s="102"/>
      <c r="T28" s="6"/>
      <c r="U28" s="6"/>
      <c r="V28" s="6"/>
      <c r="W28" s="6"/>
      <c r="X28" s="42">
        <f t="shared" si="0"/>
        <v>3</v>
      </c>
      <c r="Y28" s="87">
        <v>1329120</v>
      </c>
    </row>
    <row r="29" spans="1:25" ht="28.5" customHeight="1" x14ac:dyDescent="0.25">
      <c r="A29" s="20">
        <v>25</v>
      </c>
      <c r="B29" s="63" t="s">
        <v>112</v>
      </c>
      <c r="C29" s="63" t="s">
        <v>20</v>
      </c>
      <c r="D29" s="3" t="s">
        <v>114</v>
      </c>
      <c r="E29" s="67">
        <v>45889</v>
      </c>
      <c r="F29" s="22"/>
      <c r="G29" s="25"/>
      <c r="H29" s="35"/>
      <c r="I29" s="25"/>
      <c r="J29" s="76"/>
      <c r="K29" s="6"/>
      <c r="L29" s="6">
        <v>1</v>
      </c>
      <c r="M29" s="35"/>
      <c r="N29" s="25"/>
      <c r="O29" s="6"/>
      <c r="P29" s="6"/>
      <c r="Q29" s="6"/>
      <c r="R29" s="13"/>
      <c r="S29" s="76"/>
      <c r="T29" s="6"/>
      <c r="U29" s="6"/>
      <c r="V29" s="6"/>
      <c r="W29" s="6"/>
      <c r="X29" s="42">
        <f t="shared" si="0"/>
        <v>1</v>
      </c>
      <c r="Y29" s="87">
        <v>1384500</v>
      </c>
    </row>
    <row r="30" spans="1:25" ht="28.5" customHeight="1" x14ac:dyDescent="0.25">
      <c r="A30" s="20">
        <v>26</v>
      </c>
      <c r="B30" s="51" t="s">
        <v>113</v>
      </c>
      <c r="C30" s="3" t="s">
        <v>19</v>
      </c>
      <c r="D30" s="3" t="s">
        <v>84</v>
      </c>
      <c r="E30" s="67">
        <v>45889</v>
      </c>
      <c r="F30" s="22"/>
      <c r="G30" s="25"/>
      <c r="H30" s="35"/>
      <c r="I30" s="25"/>
      <c r="J30" s="76"/>
      <c r="K30" s="6"/>
      <c r="L30" s="6"/>
      <c r="M30" s="35"/>
      <c r="N30" s="25"/>
      <c r="O30" s="6"/>
      <c r="P30" s="6"/>
      <c r="Q30" s="6">
        <v>1</v>
      </c>
      <c r="R30" s="13"/>
      <c r="S30" s="102"/>
      <c r="T30" s="6"/>
      <c r="U30" s="6"/>
      <c r="V30" s="6">
        <v>1</v>
      </c>
      <c r="W30" s="6"/>
      <c r="X30" s="42">
        <f t="shared" si="0"/>
        <v>2</v>
      </c>
      <c r="Y30" s="22">
        <v>1400000</v>
      </c>
    </row>
    <row r="31" spans="1:25" ht="28.5" customHeight="1" x14ac:dyDescent="0.25">
      <c r="A31" s="20">
        <v>27</v>
      </c>
      <c r="B31" s="59" t="s">
        <v>117</v>
      </c>
      <c r="C31" s="3" t="s">
        <v>20</v>
      </c>
      <c r="D31" s="3" t="s">
        <v>42</v>
      </c>
      <c r="E31" s="67">
        <v>45891</v>
      </c>
      <c r="F31" s="22"/>
      <c r="G31" s="25"/>
      <c r="H31" s="35"/>
      <c r="I31" s="25"/>
      <c r="J31" s="76"/>
      <c r="K31" s="6"/>
      <c r="L31" s="6"/>
      <c r="M31" s="35"/>
      <c r="N31" s="25"/>
      <c r="O31" s="6">
        <v>3</v>
      </c>
      <c r="P31" s="6"/>
      <c r="Q31" s="6"/>
      <c r="R31" s="13"/>
      <c r="S31" s="102"/>
      <c r="T31" s="6"/>
      <c r="U31" s="6"/>
      <c r="V31" s="6"/>
      <c r="W31" s="6"/>
      <c r="X31" s="42">
        <f t="shared" si="0"/>
        <v>3</v>
      </c>
      <c r="Y31" s="22">
        <v>2473633</v>
      </c>
    </row>
    <row r="32" spans="1:25" ht="28.5" customHeight="1" x14ac:dyDescent="0.25">
      <c r="A32" s="20">
        <v>28</v>
      </c>
      <c r="B32" s="51" t="s">
        <v>77</v>
      </c>
      <c r="C32" s="51" t="s">
        <v>20</v>
      </c>
      <c r="D32" s="3" t="s">
        <v>72</v>
      </c>
      <c r="E32" s="67">
        <v>45891</v>
      </c>
      <c r="F32" s="22"/>
      <c r="G32" s="25"/>
      <c r="H32" s="35"/>
      <c r="I32" s="25"/>
      <c r="J32" s="76"/>
      <c r="K32" s="6"/>
      <c r="L32" s="6"/>
      <c r="M32" s="35"/>
      <c r="N32" s="25"/>
      <c r="O32" s="6"/>
      <c r="P32" s="6">
        <v>1</v>
      </c>
      <c r="Q32" s="6"/>
      <c r="R32" s="13"/>
      <c r="S32" s="76"/>
      <c r="T32" s="6"/>
      <c r="U32" s="6"/>
      <c r="V32" s="6">
        <v>1</v>
      </c>
      <c r="W32" s="6"/>
      <c r="X32" s="41">
        <f t="shared" si="0"/>
        <v>2</v>
      </c>
      <c r="Y32" s="22">
        <v>875000</v>
      </c>
    </row>
    <row r="33" spans="1:25" ht="28.5" customHeight="1" x14ac:dyDescent="0.25">
      <c r="A33" s="20">
        <v>29</v>
      </c>
      <c r="B33" s="51" t="s">
        <v>118</v>
      </c>
      <c r="C33" s="3" t="s">
        <v>20</v>
      </c>
      <c r="D33" s="3" t="s">
        <v>42</v>
      </c>
      <c r="E33" s="67">
        <v>45891</v>
      </c>
      <c r="F33" s="22"/>
      <c r="G33" s="25"/>
      <c r="H33" s="35"/>
      <c r="I33" s="25"/>
      <c r="J33" s="76"/>
      <c r="K33" s="6">
        <v>2</v>
      </c>
      <c r="L33" s="6"/>
      <c r="M33" s="35"/>
      <c r="N33" s="25"/>
      <c r="O33" s="6">
        <v>3</v>
      </c>
      <c r="P33" s="6">
        <v>1</v>
      </c>
      <c r="Q33" s="6"/>
      <c r="R33" s="13"/>
      <c r="S33" s="102"/>
      <c r="T33" s="6"/>
      <c r="U33" s="6"/>
      <c r="V33" s="6"/>
      <c r="W33" s="6">
        <v>2</v>
      </c>
      <c r="X33" s="42">
        <f t="shared" si="0"/>
        <v>8</v>
      </c>
      <c r="Y33" s="22">
        <v>1200000</v>
      </c>
    </row>
    <row r="34" spans="1:25" ht="28.5" customHeight="1" x14ac:dyDescent="0.25">
      <c r="A34" s="20">
        <v>30</v>
      </c>
      <c r="B34" s="51" t="s">
        <v>87</v>
      </c>
      <c r="C34" s="3" t="s">
        <v>20</v>
      </c>
      <c r="D34" s="3" t="s">
        <v>41</v>
      </c>
      <c r="E34" s="67">
        <v>45892</v>
      </c>
      <c r="F34" s="22"/>
      <c r="G34" s="25"/>
      <c r="H34" s="35"/>
      <c r="I34" s="25">
        <v>1</v>
      </c>
      <c r="J34" s="76"/>
      <c r="K34" s="6"/>
      <c r="L34" s="6">
        <v>1</v>
      </c>
      <c r="M34" s="35"/>
      <c r="N34" s="25"/>
      <c r="O34" s="6"/>
      <c r="P34" s="6"/>
      <c r="Q34" s="6"/>
      <c r="R34" s="13"/>
      <c r="S34" s="102"/>
      <c r="T34" s="6"/>
      <c r="U34" s="6"/>
      <c r="V34" s="6"/>
      <c r="W34" s="6"/>
      <c r="X34" s="42">
        <f t="shared" si="0"/>
        <v>2</v>
      </c>
      <c r="Y34" s="22">
        <v>2000000</v>
      </c>
    </row>
    <row r="35" spans="1:25" ht="28.5" customHeight="1" x14ac:dyDescent="0.25">
      <c r="A35" s="20">
        <v>31</v>
      </c>
      <c r="B35" s="63" t="s">
        <v>119</v>
      </c>
      <c r="C35" s="63" t="s">
        <v>20</v>
      </c>
      <c r="D35" s="3" t="s">
        <v>42</v>
      </c>
      <c r="E35" s="67">
        <v>45893</v>
      </c>
      <c r="F35" s="22"/>
      <c r="G35" s="25"/>
      <c r="H35" s="35"/>
      <c r="I35" s="25"/>
      <c r="J35" s="76"/>
      <c r="K35" s="6">
        <v>1</v>
      </c>
      <c r="L35" s="6"/>
      <c r="M35" s="35">
        <v>1</v>
      </c>
      <c r="N35" s="25"/>
      <c r="O35" s="6"/>
      <c r="P35" s="6"/>
      <c r="Q35" s="6"/>
      <c r="R35" s="13"/>
      <c r="S35" s="76"/>
      <c r="T35" s="6"/>
      <c r="U35" s="6"/>
      <c r="V35" s="6"/>
      <c r="W35" s="6"/>
      <c r="X35" s="42">
        <f t="shared" si="0"/>
        <v>2</v>
      </c>
      <c r="Y35" s="87">
        <v>1000000</v>
      </c>
    </row>
    <row r="36" spans="1:25" ht="28.5" customHeight="1" x14ac:dyDescent="0.25">
      <c r="A36" s="20">
        <v>32</v>
      </c>
      <c r="B36" s="51" t="s">
        <v>120</v>
      </c>
      <c r="C36" s="3" t="s">
        <v>20</v>
      </c>
      <c r="D36" s="3" t="s">
        <v>41</v>
      </c>
      <c r="E36" s="67">
        <v>45893</v>
      </c>
      <c r="F36" s="22"/>
      <c r="G36" s="25"/>
      <c r="H36" s="35"/>
      <c r="I36" s="25">
        <v>4</v>
      </c>
      <c r="J36" s="76"/>
      <c r="K36" s="6"/>
      <c r="L36" s="6"/>
      <c r="M36" s="35"/>
      <c r="N36" s="25"/>
      <c r="O36" s="6"/>
      <c r="P36" s="6"/>
      <c r="Q36" s="6"/>
      <c r="R36" s="13"/>
      <c r="S36" s="76"/>
      <c r="T36" s="6"/>
      <c r="U36" s="6"/>
      <c r="V36" s="6"/>
      <c r="W36" s="6"/>
      <c r="X36" s="42">
        <f t="shared" si="0"/>
        <v>4</v>
      </c>
      <c r="Y36" s="87">
        <v>1750000</v>
      </c>
    </row>
    <row r="37" spans="1:25" ht="28.5" customHeight="1" x14ac:dyDescent="0.25">
      <c r="A37" s="20">
        <v>33</v>
      </c>
      <c r="B37" s="63" t="s">
        <v>121</v>
      </c>
      <c r="C37" s="3" t="s">
        <v>20</v>
      </c>
      <c r="D37" s="3" t="s">
        <v>41</v>
      </c>
      <c r="E37" s="67">
        <v>45897</v>
      </c>
      <c r="F37" s="22"/>
      <c r="G37" s="25"/>
      <c r="H37" s="35"/>
      <c r="I37" s="25">
        <v>2</v>
      </c>
      <c r="J37" s="76"/>
      <c r="K37" s="6">
        <v>1</v>
      </c>
      <c r="L37" s="6">
        <v>2</v>
      </c>
      <c r="M37" s="35"/>
      <c r="N37" s="25"/>
      <c r="O37" s="6"/>
      <c r="P37" s="6"/>
      <c r="Q37" s="6"/>
      <c r="R37" s="13"/>
      <c r="S37" s="76"/>
      <c r="T37" s="6"/>
      <c r="U37" s="6"/>
      <c r="V37" s="6"/>
      <c r="W37" s="6"/>
      <c r="X37" s="42">
        <f t="shared" si="0"/>
        <v>5</v>
      </c>
      <c r="Y37" s="87">
        <v>2473633</v>
      </c>
    </row>
    <row r="38" spans="1:25" ht="28.5" customHeight="1" x14ac:dyDescent="0.25">
      <c r="A38" s="20">
        <v>34</v>
      </c>
      <c r="B38" s="63" t="s">
        <v>122</v>
      </c>
      <c r="C38" s="51" t="s">
        <v>20</v>
      </c>
      <c r="D38" s="3" t="s">
        <v>84</v>
      </c>
      <c r="E38" s="53">
        <v>45898</v>
      </c>
      <c r="F38" s="22"/>
      <c r="G38" s="25"/>
      <c r="H38" s="35"/>
      <c r="I38" s="25">
        <v>2</v>
      </c>
      <c r="J38" s="76"/>
      <c r="K38" s="6">
        <v>1</v>
      </c>
      <c r="L38" s="6"/>
      <c r="M38" s="35"/>
      <c r="N38" s="25"/>
      <c r="O38" s="6"/>
      <c r="P38" s="6"/>
      <c r="Q38" s="6"/>
      <c r="R38" s="13"/>
      <c r="S38" s="102"/>
      <c r="T38" s="6"/>
      <c r="U38" s="6"/>
      <c r="V38" s="6"/>
      <c r="W38" s="6"/>
      <c r="X38" s="42">
        <f t="shared" si="0"/>
        <v>3</v>
      </c>
      <c r="Y38" s="22">
        <v>1905062</v>
      </c>
    </row>
    <row r="39" spans="1:25" ht="28.5" customHeight="1" x14ac:dyDescent="0.25">
      <c r="A39" s="20">
        <v>35</v>
      </c>
      <c r="B39" s="3" t="s">
        <v>123</v>
      </c>
      <c r="C39" s="3" t="s">
        <v>20</v>
      </c>
      <c r="D39" s="3" t="s">
        <v>41</v>
      </c>
      <c r="E39" s="53">
        <v>45898</v>
      </c>
      <c r="F39" s="22"/>
      <c r="G39" s="25"/>
      <c r="H39" s="35"/>
      <c r="I39" s="25">
        <v>1</v>
      </c>
      <c r="J39" s="76">
        <v>4</v>
      </c>
      <c r="K39" s="6">
        <v>3</v>
      </c>
      <c r="L39" s="6">
        <v>5</v>
      </c>
      <c r="M39" s="35">
        <v>2</v>
      </c>
      <c r="N39" s="25"/>
      <c r="O39" s="6"/>
      <c r="P39" s="6"/>
      <c r="Q39" s="6"/>
      <c r="R39" s="13">
        <v>1</v>
      </c>
      <c r="S39" s="76"/>
      <c r="T39" s="6"/>
      <c r="U39" s="6"/>
      <c r="V39" s="6"/>
      <c r="W39" s="6"/>
      <c r="X39" s="42">
        <f t="shared" si="0"/>
        <v>16</v>
      </c>
      <c r="Y39" s="87">
        <v>1875000</v>
      </c>
    </row>
    <row r="40" spans="1:25" ht="28.5" customHeight="1" x14ac:dyDescent="0.25">
      <c r="A40" s="20">
        <v>36</v>
      </c>
      <c r="B40" s="63" t="s">
        <v>124</v>
      </c>
      <c r="C40" s="63" t="s">
        <v>20</v>
      </c>
      <c r="D40" s="3" t="s">
        <v>44</v>
      </c>
      <c r="E40" s="67">
        <v>45898</v>
      </c>
      <c r="F40" s="22"/>
      <c r="G40" s="25"/>
      <c r="H40" s="35"/>
      <c r="I40" s="25">
        <v>3</v>
      </c>
      <c r="J40" s="76"/>
      <c r="K40" s="6">
        <v>8</v>
      </c>
      <c r="L40" s="6">
        <v>5</v>
      </c>
      <c r="M40" s="35">
        <v>1</v>
      </c>
      <c r="N40" s="25"/>
      <c r="O40" s="6">
        <v>1</v>
      </c>
      <c r="P40" s="6"/>
      <c r="Q40" s="6"/>
      <c r="R40" s="13"/>
      <c r="S40" s="76"/>
      <c r="T40" s="6"/>
      <c r="U40" s="6"/>
      <c r="V40" s="6"/>
      <c r="W40" s="6"/>
      <c r="X40" s="42">
        <f t="shared" si="0"/>
        <v>18</v>
      </c>
      <c r="Y40" s="87">
        <v>1415600</v>
      </c>
    </row>
    <row r="41" spans="1:25" ht="28.5" customHeight="1" x14ac:dyDescent="0.25">
      <c r="A41" s="20">
        <v>37</v>
      </c>
      <c r="B41" s="63" t="s">
        <v>125</v>
      </c>
      <c r="C41" s="63" t="s">
        <v>20</v>
      </c>
      <c r="D41" s="3" t="s">
        <v>44</v>
      </c>
      <c r="E41" s="67">
        <v>45898</v>
      </c>
      <c r="F41" s="22"/>
      <c r="G41" s="25"/>
      <c r="H41" s="35"/>
      <c r="I41" s="25">
        <v>1</v>
      </c>
      <c r="J41" s="76">
        <v>1</v>
      </c>
      <c r="K41" s="6">
        <v>2</v>
      </c>
      <c r="L41" s="6">
        <v>3</v>
      </c>
      <c r="M41" s="35">
        <v>2</v>
      </c>
      <c r="N41" s="25"/>
      <c r="O41" s="6"/>
      <c r="P41" s="6">
        <v>1</v>
      </c>
      <c r="Q41" s="6">
        <v>1</v>
      </c>
      <c r="R41" s="13">
        <v>2</v>
      </c>
      <c r="S41" s="76"/>
      <c r="T41" s="6"/>
      <c r="U41" s="6"/>
      <c r="V41" s="6">
        <v>2</v>
      </c>
      <c r="W41" s="6">
        <v>1</v>
      </c>
      <c r="X41" s="42">
        <f t="shared" si="0"/>
        <v>16</v>
      </c>
      <c r="Y41" s="87">
        <v>1415600</v>
      </c>
    </row>
    <row r="42" spans="1:25" ht="28.5" customHeight="1" x14ac:dyDescent="0.25">
      <c r="A42" s="20">
        <v>38</v>
      </c>
      <c r="B42" s="63" t="s">
        <v>127</v>
      </c>
      <c r="C42" s="62" t="s">
        <v>20</v>
      </c>
      <c r="D42" s="3" t="s">
        <v>43</v>
      </c>
      <c r="E42" s="67">
        <v>45901</v>
      </c>
      <c r="F42" s="22"/>
      <c r="G42" s="25"/>
      <c r="H42" s="35"/>
      <c r="I42" s="25">
        <v>1</v>
      </c>
      <c r="J42" s="76">
        <v>2</v>
      </c>
      <c r="K42" s="6">
        <v>1</v>
      </c>
      <c r="L42" s="6">
        <v>1</v>
      </c>
      <c r="M42" s="35">
        <v>3</v>
      </c>
      <c r="N42" s="25"/>
      <c r="O42" s="6"/>
      <c r="P42" s="6"/>
      <c r="Q42" s="6">
        <v>1</v>
      </c>
      <c r="R42" s="13"/>
      <c r="S42" s="76"/>
      <c r="T42" s="6"/>
      <c r="U42" s="6"/>
      <c r="V42" s="6">
        <v>1</v>
      </c>
      <c r="W42" s="6"/>
      <c r="X42" s="42">
        <f t="shared" si="0"/>
        <v>10</v>
      </c>
      <c r="Y42" s="87">
        <v>1090000</v>
      </c>
    </row>
    <row r="43" spans="1:25" ht="28.5" customHeight="1" x14ac:dyDescent="0.25">
      <c r="A43" s="20">
        <v>39</v>
      </c>
      <c r="B43" s="63" t="s">
        <v>129</v>
      </c>
      <c r="C43" s="3" t="s">
        <v>20</v>
      </c>
      <c r="D43" s="3" t="s">
        <v>41</v>
      </c>
      <c r="E43" s="67">
        <v>45901</v>
      </c>
      <c r="F43" s="22"/>
      <c r="G43" s="25"/>
      <c r="H43" s="35"/>
      <c r="I43" s="25">
        <v>2</v>
      </c>
      <c r="J43" s="76">
        <v>1</v>
      </c>
      <c r="K43" s="6"/>
      <c r="L43" s="6">
        <v>1</v>
      </c>
      <c r="M43" s="35">
        <v>3</v>
      </c>
      <c r="N43" s="25"/>
      <c r="O43" s="6"/>
      <c r="P43" s="6"/>
      <c r="Q43" s="6"/>
      <c r="R43" s="13"/>
      <c r="S43" s="76"/>
      <c r="T43" s="6"/>
      <c r="U43" s="6"/>
      <c r="V43" s="6"/>
      <c r="W43" s="6"/>
      <c r="X43" s="42">
        <f t="shared" si="0"/>
        <v>7</v>
      </c>
      <c r="Y43" s="87">
        <v>1400000</v>
      </c>
    </row>
    <row r="44" spans="1:25" ht="28.5" customHeight="1" x14ac:dyDescent="0.25">
      <c r="A44" s="20">
        <v>40</v>
      </c>
      <c r="B44" s="63" t="s">
        <v>131</v>
      </c>
      <c r="C44" s="3" t="s">
        <v>20</v>
      </c>
      <c r="D44" s="3" t="s">
        <v>42</v>
      </c>
      <c r="E44" s="53">
        <v>45904</v>
      </c>
      <c r="F44" s="22"/>
      <c r="G44" s="25"/>
      <c r="H44" s="35"/>
      <c r="I44" s="25"/>
      <c r="J44" s="76">
        <v>1</v>
      </c>
      <c r="K44" s="6">
        <v>1</v>
      </c>
      <c r="L44" s="6"/>
      <c r="M44" s="35"/>
      <c r="N44" s="25"/>
      <c r="O44" s="6"/>
      <c r="P44" s="6">
        <v>1</v>
      </c>
      <c r="Q44" s="6"/>
      <c r="R44" s="13"/>
      <c r="S44" s="102"/>
      <c r="T44" s="6"/>
      <c r="U44" s="6"/>
      <c r="V44" s="6">
        <v>2</v>
      </c>
      <c r="W44" s="6"/>
      <c r="X44" s="42">
        <f t="shared" si="0"/>
        <v>5</v>
      </c>
      <c r="Y44" s="22">
        <v>1253278</v>
      </c>
    </row>
    <row r="45" spans="1:25" ht="28.5" customHeight="1" x14ac:dyDescent="0.25">
      <c r="A45" s="20">
        <v>41</v>
      </c>
      <c r="B45" s="66" t="s">
        <v>132</v>
      </c>
      <c r="C45" s="51" t="s">
        <v>20</v>
      </c>
      <c r="D45" s="3" t="s">
        <v>42</v>
      </c>
      <c r="E45" s="53">
        <v>45904</v>
      </c>
      <c r="F45" s="22"/>
      <c r="G45" s="25"/>
      <c r="H45" s="35"/>
      <c r="I45" s="25"/>
      <c r="J45" s="76"/>
      <c r="K45" s="6"/>
      <c r="L45" s="6"/>
      <c r="M45" s="35"/>
      <c r="N45" s="25"/>
      <c r="O45" s="6">
        <v>1</v>
      </c>
      <c r="P45" s="6"/>
      <c r="Q45" s="6"/>
      <c r="R45" s="13"/>
      <c r="S45" s="102"/>
      <c r="T45" s="6"/>
      <c r="U45" s="6"/>
      <c r="V45" s="6"/>
      <c r="W45" s="6"/>
      <c r="X45" s="42">
        <f t="shared" si="0"/>
        <v>1</v>
      </c>
      <c r="Y45" s="22">
        <v>1620012</v>
      </c>
    </row>
    <row r="46" spans="1:25" ht="28.5" customHeight="1" x14ac:dyDescent="0.25">
      <c r="A46" s="20">
        <v>42</v>
      </c>
      <c r="B46" s="66" t="s">
        <v>134</v>
      </c>
      <c r="C46" s="51" t="s">
        <v>20</v>
      </c>
      <c r="D46" s="54" t="s">
        <v>41</v>
      </c>
      <c r="E46" s="67">
        <v>45905</v>
      </c>
      <c r="F46" s="22"/>
      <c r="G46" s="25"/>
      <c r="H46" s="35"/>
      <c r="I46" s="25">
        <v>2</v>
      </c>
      <c r="J46" s="76"/>
      <c r="K46" s="6"/>
      <c r="L46" s="6">
        <v>1</v>
      </c>
      <c r="M46" s="35"/>
      <c r="N46" s="25"/>
      <c r="O46" s="6"/>
      <c r="P46" s="6"/>
      <c r="Q46" s="6"/>
      <c r="R46" s="13"/>
      <c r="S46" s="76"/>
      <c r="T46" s="6"/>
      <c r="U46" s="6"/>
      <c r="V46" s="6"/>
      <c r="W46" s="6"/>
      <c r="X46" s="42">
        <f t="shared" si="0"/>
        <v>3</v>
      </c>
      <c r="Y46" s="87">
        <v>1950000</v>
      </c>
    </row>
    <row r="47" spans="1:25" ht="28.5" customHeight="1" x14ac:dyDescent="0.25">
      <c r="A47" s="20">
        <v>43</v>
      </c>
      <c r="B47" s="63" t="s">
        <v>135</v>
      </c>
      <c r="C47" s="63" t="s">
        <v>19</v>
      </c>
      <c r="D47" s="3" t="s">
        <v>44</v>
      </c>
      <c r="E47" s="53">
        <v>45905</v>
      </c>
      <c r="F47" s="22"/>
      <c r="G47" s="25"/>
      <c r="H47" s="35"/>
      <c r="I47" s="25"/>
      <c r="J47" s="76"/>
      <c r="K47" s="6">
        <v>1</v>
      </c>
      <c r="L47" s="6">
        <v>2</v>
      </c>
      <c r="M47" s="35">
        <v>2</v>
      </c>
      <c r="N47" s="25"/>
      <c r="O47" s="6"/>
      <c r="P47" s="6"/>
      <c r="Q47" s="6"/>
      <c r="R47" s="13"/>
      <c r="S47" s="76">
        <v>1</v>
      </c>
      <c r="T47" s="6"/>
      <c r="U47" s="6"/>
      <c r="V47" s="6"/>
      <c r="W47" s="6"/>
      <c r="X47" s="42">
        <f t="shared" si="0"/>
        <v>6</v>
      </c>
      <c r="Y47" s="87">
        <v>850000</v>
      </c>
    </row>
    <row r="48" spans="1:25" ht="28.5" customHeight="1" x14ac:dyDescent="0.25">
      <c r="A48" s="20">
        <v>44</v>
      </c>
      <c r="B48" s="63" t="s">
        <v>136</v>
      </c>
      <c r="C48" s="63" t="s">
        <v>20</v>
      </c>
      <c r="D48" s="3" t="s">
        <v>41</v>
      </c>
      <c r="E48" s="53">
        <v>45909</v>
      </c>
      <c r="F48" s="22"/>
      <c r="G48" s="25"/>
      <c r="H48" s="35"/>
      <c r="I48" s="25">
        <v>2</v>
      </c>
      <c r="J48" s="76"/>
      <c r="K48" s="6"/>
      <c r="L48" s="6">
        <v>1</v>
      </c>
      <c r="M48" s="35"/>
      <c r="N48" s="25"/>
      <c r="O48" s="6"/>
      <c r="P48" s="6"/>
      <c r="Q48" s="6"/>
      <c r="R48" s="13">
        <v>1</v>
      </c>
      <c r="S48" s="76"/>
      <c r="T48" s="6"/>
      <c r="U48" s="6"/>
      <c r="V48" s="6"/>
      <c r="W48" s="6"/>
      <c r="X48" s="42">
        <f t="shared" si="0"/>
        <v>4</v>
      </c>
      <c r="Y48" s="87">
        <v>1377100</v>
      </c>
    </row>
    <row r="49" spans="1:25" ht="28.5" customHeight="1" x14ac:dyDescent="0.25">
      <c r="A49" s="20">
        <v>45</v>
      </c>
      <c r="B49" s="63" t="s">
        <v>139</v>
      </c>
      <c r="C49" s="63" t="s">
        <v>19</v>
      </c>
      <c r="D49" s="3" t="s">
        <v>44</v>
      </c>
      <c r="E49" s="53">
        <v>45909</v>
      </c>
      <c r="F49" s="22"/>
      <c r="G49" s="25"/>
      <c r="H49" s="35"/>
      <c r="I49" s="25">
        <v>5</v>
      </c>
      <c r="J49" s="76">
        <v>2</v>
      </c>
      <c r="K49" s="6">
        <v>4</v>
      </c>
      <c r="L49" s="6">
        <v>2</v>
      </c>
      <c r="M49" s="35">
        <v>1</v>
      </c>
      <c r="N49" s="25"/>
      <c r="O49" s="6">
        <v>1</v>
      </c>
      <c r="P49" s="6"/>
      <c r="Q49" s="6">
        <v>3</v>
      </c>
      <c r="R49" s="13"/>
      <c r="S49" s="76"/>
      <c r="T49" s="6"/>
      <c r="U49" s="6"/>
      <c r="V49" s="6"/>
      <c r="W49" s="6">
        <v>3</v>
      </c>
      <c r="X49" s="42">
        <f t="shared" si="0"/>
        <v>21</v>
      </c>
      <c r="Y49" s="87">
        <v>760000</v>
      </c>
    </row>
    <row r="50" spans="1:25" ht="28.5" customHeight="1" x14ac:dyDescent="0.25">
      <c r="A50" s="20">
        <v>46</v>
      </c>
      <c r="B50" s="63" t="s">
        <v>130</v>
      </c>
      <c r="C50" s="63" t="s">
        <v>19</v>
      </c>
      <c r="D50" s="3" t="s">
        <v>44</v>
      </c>
      <c r="E50" s="67">
        <v>45909</v>
      </c>
      <c r="F50" s="22"/>
      <c r="G50" s="25"/>
      <c r="H50" s="35"/>
      <c r="I50" s="25"/>
      <c r="J50" s="76">
        <v>2</v>
      </c>
      <c r="K50" s="6"/>
      <c r="L50" s="6">
        <v>8</v>
      </c>
      <c r="M50" s="35"/>
      <c r="N50" s="25"/>
      <c r="O50" s="6">
        <v>3</v>
      </c>
      <c r="P50" s="6"/>
      <c r="Q50" s="6"/>
      <c r="R50" s="13">
        <v>1</v>
      </c>
      <c r="S50" s="102"/>
      <c r="T50" s="6"/>
      <c r="U50" s="6"/>
      <c r="V50" s="6"/>
      <c r="W50" s="6">
        <v>1</v>
      </c>
      <c r="X50" s="42">
        <f>SUM(F50:W50)</f>
        <v>15</v>
      </c>
      <c r="Y50" s="22">
        <v>760000</v>
      </c>
    </row>
    <row r="51" spans="1:25" ht="28.5" customHeight="1" x14ac:dyDescent="0.25">
      <c r="A51" s="20">
        <v>47</v>
      </c>
      <c r="B51" s="133" t="s">
        <v>140</v>
      </c>
      <c r="C51" s="63" t="s">
        <v>20</v>
      </c>
      <c r="D51" s="3" t="s">
        <v>44</v>
      </c>
      <c r="E51" s="53">
        <v>45909</v>
      </c>
      <c r="F51" s="22"/>
      <c r="G51" s="25"/>
      <c r="H51" s="35"/>
      <c r="I51" s="25">
        <v>2</v>
      </c>
      <c r="J51" s="76">
        <v>6</v>
      </c>
      <c r="K51" s="6">
        <v>9</v>
      </c>
      <c r="L51" s="6">
        <v>8</v>
      </c>
      <c r="M51" s="35">
        <v>1</v>
      </c>
      <c r="N51" s="25"/>
      <c r="O51" s="6">
        <v>10</v>
      </c>
      <c r="P51" s="6">
        <v>2</v>
      </c>
      <c r="Q51" s="6">
        <v>3</v>
      </c>
      <c r="R51" s="13">
        <v>2</v>
      </c>
      <c r="S51" s="76"/>
      <c r="T51" s="6"/>
      <c r="U51" s="6">
        <v>1</v>
      </c>
      <c r="V51" s="6">
        <v>1</v>
      </c>
      <c r="W51" s="6">
        <v>2</v>
      </c>
      <c r="X51" s="42">
        <f t="shared" si="0"/>
        <v>47</v>
      </c>
      <c r="Y51" s="87">
        <v>760000</v>
      </c>
    </row>
    <row r="52" spans="1:25" ht="28.5" customHeight="1" x14ac:dyDescent="0.25">
      <c r="A52" s="20">
        <v>48</v>
      </c>
      <c r="B52" s="133" t="s">
        <v>141</v>
      </c>
      <c r="C52" s="63" t="s">
        <v>19</v>
      </c>
      <c r="D52" s="3" t="s">
        <v>41</v>
      </c>
      <c r="E52" s="53">
        <v>45910</v>
      </c>
      <c r="F52" s="22"/>
      <c r="G52" s="25"/>
      <c r="H52" s="35"/>
      <c r="I52" s="25">
        <v>1</v>
      </c>
      <c r="J52" s="76">
        <v>2</v>
      </c>
      <c r="K52" s="6">
        <v>3</v>
      </c>
      <c r="L52" s="6"/>
      <c r="M52" s="35"/>
      <c r="N52" s="25"/>
      <c r="O52" s="6"/>
      <c r="P52" s="6"/>
      <c r="Q52" s="6"/>
      <c r="R52" s="13"/>
      <c r="S52" s="76"/>
      <c r="T52" s="6"/>
      <c r="U52" s="6"/>
      <c r="V52" s="6"/>
      <c r="W52" s="6"/>
      <c r="X52" s="42">
        <f t="shared" si="0"/>
        <v>6</v>
      </c>
      <c r="Y52" s="87">
        <v>900825</v>
      </c>
    </row>
    <row r="53" spans="1:25" ht="28.5" customHeight="1" x14ac:dyDescent="0.25">
      <c r="A53" s="20">
        <v>49</v>
      </c>
      <c r="B53" s="133" t="s">
        <v>142</v>
      </c>
      <c r="C53" s="63" t="s">
        <v>19</v>
      </c>
      <c r="D53" s="3" t="s">
        <v>43</v>
      </c>
      <c r="E53" s="53">
        <v>45911</v>
      </c>
      <c r="F53" s="22"/>
      <c r="G53" s="25"/>
      <c r="H53" s="35"/>
      <c r="I53" s="25">
        <v>1</v>
      </c>
      <c r="J53" s="76"/>
      <c r="K53" s="6">
        <v>3</v>
      </c>
      <c r="L53" s="6">
        <v>1</v>
      </c>
      <c r="M53" s="35"/>
      <c r="N53" s="25"/>
      <c r="O53" s="6"/>
      <c r="P53" s="6"/>
      <c r="Q53" s="6"/>
      <c r="R53" s="13"/>
      <c r="S53" s="103"/>
      <c r="T53" s="38"/>
      <c r="U53" s="6"/>
      <c r="V53" s="6"/>
      <c r="W53" s="6"/>
      <c r="X53" s="42">
        <f t="shared" si="0"/>
        <v>5</v>
      </c>
      <c r="Y53" s="22">
        <v>950000</v>
      </c>
    </row>
    <row r="54" spans="1:25" ht="28.5" customHeight="1" x14ac:dyDescent="0.25">
      <c r="A54" s="20">
        <v>50</v>
      </c>
      <c r="B54" s="133" t="s">
        <v>145</v>
      </c>
      <c r="C54" s="63" t="s">
        <v>20</v>
      </c>
      <c r="D54" s="3" t="s">
        <v>41</v>
      </c>
      <c r="E54" s="53">
        <v>45911</v>
      </c>
      <c r="F54" s="22"/>
      <c r="G54" s="25"/>
      <c r="H54" s="35"/>
      <c r="I54" s="25"/>
      <c r="J54" s="76">
        <v>1</v>
      </c>
      <c r="K54" s="6"/>
      <c r="L54" s="6"/>
      <c r="M54" s="35"/>
      <c r="N54" s="25"/>
      <c r="O54" s="6"/>
      <c r="P54" s="6"/>
      <c r="Q54" s="6"/>
      <c r="R54" s="13"/>
      <c r="S54" s="103"/>
      <c r="T54" s="38"/>
      <c r="U54" s="6"/>
      <c r="V54" s="6"/>
      <c r="W54" s="6"/>
      <c r="X54" s="42">
        <f t="shared" si="0"/>
        <v>1</v>
      </c>
      <c r="Y54" s="22"/>
    </row>
    <row r="55" spans="1:25" ht="28.5" customHeight="1" x14ac:dyDescent="0.25">
      <c r="A55" s="20">
        <v>51</v>
      </c>
      <c r="B55" s="133" t="s">
        <v>143</v>
      </c>
      <c r="C55" s="63" t="s">
        <v>20</v>
      </c>
      <c r="D55" s="3" t="s">
        <v>44</v>
      </c>
      <c r="E55" s="53">
        <v>45911</v>
      </c>
      <c r="F55" s="22"/>
      <c r="G55" s="25"/>
      <c r="H55" s="35"/>
      <c r="I55" s="25"/>
      <c r="J55" s="76">
        <v>2</v>
      </c>
      <c r="K55" s="6"/>
      <c r="L55" s="6"/>
      <c r="M55" s="35"/>
      <c r="N55" s="25"/>
      <c r="O55" s="6"/>
      <c r="P55" s="6"/>
      <c r="Q55" s="6"/>
      <c r="R55" s="13"/>
      <c r="S55" s="103"/>
      <c r="T55" s="38"/>
      <c r="U55" s="6"/>
      <c r="V55" s="6"/>
      <c r="W55" s="6"/>
      <c r="X55" s="42">
        <f t="shared" si="0"/>
        <v>2</v>
      </c>
      <c r="Y55" s="22">
        <v>852938</v>
      </c>
    </row>
    <row r="56" spans="1:25" ht="28.5" customHeight="1" x14ac:dyDescent="0.25">
      <c r="A56" s="20">
        <v>52</v>
      </c>
      <c r="B56" s="133" t="s">
        <v>146</v>
      </c>
      <c r="C56" s="63" t="s">
        <v>20</v>
      </c>
      <c r="D56" s="3" t="s">
        <v>42</v>
      </c>
      <c r="E56" s="53">
        <v>45916</v>
      </c>
      <c r="F56" s="22"/>
      <c r="G56" s="25"/>
      <c r="H56" s="35"/>
      <c r="I56" s="25"/>
      <c r="J56" s="76"/>
      <c r="K56" s="6"/>
      <c r="L56" s="6"/>
      <c r="M56" s="35"/>
      <c r="N56" s="25"/>
      <c r="O56" s="6">
        <v>3</v>
      </c>
      <c r="P56" s="6"/>
      <c r="Q56" s="6">
        <v>4</v>
      </c>
      <c r="R56" s="13">
        <v>1</v>
      </c>
      <c r="S56" s="103">
        <v>3</v>
      </c>
      <c r="T56" s="38"/>
      <c r="U56" s="6"/>
      <c r="V56" s="6">
        <v>1</v>
      </c>
      <c r="W56" s="6"/>
      <c r="X56" s="42">
        <f t="shared" ref="X56" si="2">SUM(F56:W56)</f>
        <v>12</v>
      </c>
      <c r="Y56" s="22">
        <v>1450000</v>
      </c>
    </row>
    <row r="57" spans="1:25" ht="28.5" customHeight="1" x14ac:dyDescent="0.25">
      <c r="A57" s="20">
        <v>53</v>
      </c>
      <c r="B57" s="133" t="s">
        <v>148</v>
      </c>
      <c r="C57" s="63" t="s">
        <v>19</v>
      </c>
      <c r="D57" s="3" t="s">
        <v>41</v>
      </c>
      <c r="E57" s="53">
        <v>45918</v>
      </c>
      <c r="F57" s="22"/>
      <c r="G57" s="25"/>
      <c r="H57" s="35"/>
      <c r="I57" s="25"/>
      <c r="J57" s="76">
        <v>1</v>
      </c>
      <c r="K57" s="6">
        <v>1</v>
      </c>
      <c r="L57" s="6"/>
      <c r="M57" s="35"/>
      <c r="N57" s="25"/>
      <c r="O57" s="6"/>
      <c r="P57" s="6"/>
      <c r="Q57" s="6"/>
      <c r="R57" s="13"/>
      <c r="S57" s="76"/>
      <c r="T57" s="6"/>
      <c r="U57" s="6"/>
      <c r="V57" s="6"/>
      <c r="W57" s="6"/>
      <c r="X57" s="42">
        <f t="shared" si="0"/>
        <v>2</v>
      </c>
      <c r="Y57" s="87">
        <v>1081724</v>
      </c>
    </row>
    <row r="58" spans="1:25" ht="28.5" customHeight="1" x14ac:dyDescent="0.25">
      <c r="A58" s="20">
        <v>54</v>
      </c>
      <c r="B58" s="63" t="s">
        <v>89</v>
      </c>
      <c r="C58" s="63" t="s">
        <v>20</v>
      </c>
      <c r="D58" s="54" t="s">
        <v>42</v>
      </c>
      <c r="E58" s="53">
        <v>45920</v>
      </c>
      <c r="F58" s="22"/>
      <c r="G58" s="27"/>
      <c r="H58" s="37"/>
      <c r="I58" s="25"/>
      <c r="J58" s="76"/>
      <c r="K58" s="6"/>
      <c r="L58" s="6"/>
      <c r="M58" s="35"/>
      <c r="N58" s="25"/>
      <c r="O58" s="6"/>
      <c r="P58" s="6"/>
      <c r="Q58" s="6"/>
      <c r="R58" s="13"/>
      <c r="S58" s="71"/>
      <c r="T58" s="28"/>
      <c r="U58" s="28"/>
      <c r="V58" s="28">
        <v>1</v>
      </c>
      <c r="W58" s="28">
        <v>2</v>
      </c>
      <c r="X58" s="42">
        <f t="shared" si="0"/>
        <v>3</v>
      </c>
      <c r="Y58" s="89">
        <v>1150000</v>
      </c>
    </row>
    <row r="59" spans="1:25" ht="28.5" customHeight="1" x14ac:dyDescent="0.25">
      <c r="A59" s="20">
        <v>55</v>
      </c>
      <c r="B59" s="63" t="s">
        <v>149</v>
      </c>
      <c r="C59" s="63" t="s">
        <v>20</v>
      </c>
      <c r="D59" s="54" t="s">
        <v>41</v>
      </c>
      <c r="E59" s="53">
        <v>45920</v>
      </c>
      <c r="F59" s="22"/>
      <c r="G59" s="27"/>
      <c r="H59" s="37"/>
      <c r="I59" s="25"/>
      <c r="J59" s="76"/>
      <c r="K59" s="6"/>
      <c r="L59" s="6">
        <v>2</v>
      </c>
      <c r="M59" s="35"/>
      <c r="N59" s="25"/>
      <c r="O59" s="6"/>
      <c r="P59" s="6"/>
      <c r="Q59" s="6">
        <v>1</v>
      </c>
      <c r="R59" s="13"/>
      <c r="S59" s="71"/>
      <c r="T59" s="28"/>
      <c r="U59" s="28"/>
      <c r="V59" s="28"/>
      <c r="W59" s="28"/>
      <c r="X59" s="42">
        <f t="shared" si="0"/>
        <v>3</v>
      </c>
      <c r="Y59" s="89">
        <v>1000000</v>
      </c>
    </row>
    <row r="60" spans="1:25" ht="28.5" customHeight="1" x14ac:dyDescent="0.25">
      <c r="A60" s="20">
        <v>56</v>
      </c>
      <c r="B60" s="51" t="s">
        <v>157</v>
      </c>
      <c r="C60" s="51" t="s">
        <v>19</v>
      </c>
      <c r="D60" s="3" t="s">
        <v>42</v>
      </c>
      <c r="E60" s="53">
        <v>45922</v>
      </c>
      <c r="F60" s="22"/>
      <c r="G60" s="25"/>
      <c r="H60" s="35"/>
      <c r="I60" s="25"/>
      <c r="J60" s="76"/>
      <c r="K60" s="6"/>
      <c r="L60" s="6"/>
      <c r="M60" s="35"/>
      <c r="N60" s="25"/>
      <c r="O60" s="6"/>
      <c r="P60" s="6"/>
      <c r="Q60" s="6"/>
      <c r="R60" s="13"/>
      <c r="S60" s="76"/>
      <c r="T60" s="6"/>
      <c r="U60" s="6"/>
      <c r="V60" s="6">
        <v>1</v>
      </c>
      <c r="W60" s="6"/>
      <c r="X60" s="42">
        <f t="shared" si="0"/>
        <v>1</v>
      </c>
      <c r="Y60" s="87">
        <v>800000</v>
      </c>
    </row>
    <row r="61" spans="1:25" ht="28.5" customHeight="1" x14ac:dyDescent="0.25">
      <c r="A61" s="20">
        <v>57</v>
      </c>
      <c r="B61" s="63" t="s">
        <v>154</v>
      </c>
      <c r="C61" s="63" t="s">
        <v>20</v>
      </c>
      <c r="D61" s="3" t="s">
        <v>41</v>
      </c>
      <c r="E61" s="53">
        <v>45923</v>
      </c>
      <c r="F61" s="22"/>
      <c r="G61" s="25"/>
      <c r="H61" s="35"/>
      <c r="I61" s="25"/>
      <c r="J61" s="76"/>
      <c r="K61" s="6">
        <v>1</v>
      </c>
      <c r="L61" s="6">
        <v>1</v>
      </c>
      <c r="M61" s="35"/>
      <c r="N61" s="25"/>
      <c r="O61" s="6"/>
      <c r="P61" s="6">
        <v>1</v>
      </c>
      <c r="Q61" s="6"/>
      <c r="R61" s="13"/>
      <c r="S61" s="76"/>
      <c r="T61" s="6"/>
      <c r="U61" s="6"/>
      <c r="V61" s="6">
        <v>1</v>
      </c>
      <c r="W61" s="6"/>
      <c r="X61" s="42">
        <f t="shared" si="0"/>
        <v>4</v>
      </c>
      <c r="Y61" s="87">
        <v>1500000</v>
      </c>
    </row>
    <row r="62" spans="1:25" ht="28.5" customHeight="1" x14ac:dyDescent="0.25">
      <c r="A62" s="20">
        <v>58</v>
      </c>
      <c r="B62" s="60" t="s">
        <v>156</v>
      </c>
      <c r="C62" s="63" t="s">
        <v>20</v>
      </c>
      <c r="D62" s="3" t="s">
        <v>41</v>
      </c>
      <c r="E62" s="53">
        <v>45925</v>
      </c>
      <c r="F62" s="22"/>
      <c r="G62" s="27"/>
      <c r="H62" s="37"/>
      <c r="I62" s="25"/>
      <c r="J62" s="76">
        <v>2</v>
      </c>
      <c r="K62" s="6"/>
      <c r="L62" s="6"/>
      <c r="M62" s="35"/>
      <c r="N62" s="25"/>
      <c r="O62" s="6"/>
      <c r="P62" s="6"/>
      <c r="Q62" s="6"/>
      <c r="R62" s="13"/>
      <c r="S62" s="71"/>
      <c r="T62" s="28"/>
      <c r="U62" s="28"/>
      <c r="V62" s="28"/>
      <c r="W62" s="28"/>
      <c r="X62" s="42">
        <f t="shared" si="0"/>
        <v>2</v>
      </c>
      <c r="Y62" s="89">
        <v>982054</v>
      </c>
    </row>
    <row r="63" spans="1:25" ht="28.5" customHeight="1" x14ac:dyDescent="0.25">
      <c r="A63" s="20">
        <v>59</v>
      </c>
      <c r="B63" s="60" t="s">
        <v>155</v>
      </c>
      <c r="C63" s="63" t="s">
        <v>20</v>
      </c>
      <c r="D63" s="3" t="s">
        <v>43</v>
      </c>
      <c r="E63" s="53">
        <v>45925</v>
      </c>
      <c r="F63" s="22"/>
      <c r="G63" s="27">
        <v>1</v>
      </c>
      <c r="H63" s="37"/>
      <c r="I63" s="25">
        <v>2</v>
      </c>
      <c r="J63" s="76">
        <v>2</v>
      </c>
      <c r="K63" s="6">
        <v>1</v>
      </c>
      <c r="L63" s="6">
        <v>1</v>
      </c>
      <c r="M63" s="35">
        <v>1</v>
      </c>
      <c r="N63" s="25"/>
      <c r="O63" s="6">
        <v>1</v>
      </c>
      <c r="P63" s="6">
        <v>1</v>
      </c>
      <c r="Q63" s="6">
        <v>1</v>
      </c>
      <c r="R63" s="13">
        <v>2</v>
      </c>
      <c r="S63" s="104"/>
      <c r="T63" s="28"/>
      <c r="U63" s="28">
        <v>1</v>
      </c>
      <c r="V63" s="28">
        <v>2</v>
      </c>
      <c r="W63" s="28"/>
      <c r="X63" s="42">
        <f t="shared" si="0"/>
        <v>16</v>
      </c>
      <c r="Y63" s="26">
        <v>600000</v>
      </c>
    </row>
    <row r="64" spans="1:25" ht="28.5" customHeight="1" x14ac:dyDescent="0.25">
      <c r="A64" s="20">
        <v>60</v>
      </c>
      <c r="B64" s="60" t="s">
        <v>158</v>
      </c>
      <c r="C64" s="63" t="s">
        <v>20</v>
      </c>
      <c r="D64" s="3" t="s">
        <v>43</v>
      </c>
      <c r="E64" s="53">
        <v>45925</v>
      </c>
      <c r="F64" s="22"/>
      <c r="G64" s="27"/>
      <c r="H64" s="37"/>
      <c r="I64" s="25"/>
      <c r="J64" s="76"/>
      <c r="K64" s="6"/>
      <c r="L64" s="6">
        <v>1</v>
      </c>
      <c r="M64" s="35"/>
      <c r="N64" s="25"/>
      <c r="O64" s="6"/>
      <c r="P64" s="6">
        <v>1</v>
      </c>
      <c r="Q64" s="6"/>
      <c r="R64" s="13"/>
      <c r="S64" s="104"/>
      <c r="T64" s="28"/>
      <c r="U64" s="28"/>
      <c r="V64" s="28"/>
      <c r="W64" s="28">
        <v>1</v>
      </c>
      <c r="X64" s="42">
        <f t="shared" si="0"/>
        <v>3</v>
      </c>
      <c r="Y64" s="26">
        <v>500000</v>
      </c>
    </row>
    <row r="65" spans="1:25" ht="28.5" customHeight="1" x14ac:dyDescent="0.25">
      <c r="A65" s="20">
        <v>61</v>
      </c>
      <c r="B65" s="60" t="s">
        <v>161</v>
      </c>
      <c r="C65" s="63" t="s">
        <v>20</v>
      </c>
      <c r="D65" s="3" t="s">
        <v>41</v>
      </c>
      <c r="E65" s="53">
        <v>45926</v>
      </c>
      <c r="F65" s="22"/>
      <c r="G65" s="25"/>
      <c r="H65" s="35"/>
      <c r="I65" s="25">
        <v>5</v>
      </c>
      <c r="J65" s="76"/>
      <c r="K65" s="6"/>
      <c r="L65" s="6"/>
      <c r="M65" s="35">
        <v>1</v>
      </c>
      <c r="N65" s="25"/>
      <c r="O65" s="6"/>
      <c r="P65" s="6"/>
      <c r="Q65" s="6"/>
      <c r="R65" s="13"/>
      <c r="S65" s="76"/>
      <c r="T65" s="6"/>
      <c r="U65" s="6"/>
      <c r="V65" s="6"/>
      <c r="W65" s="6"/>
      <c r="X65" s="42">
        <f t="shared" si="0"/>
        <v>6</v>
      </c>
      <c r="Y65" s="87">
        <v>1305000</v>
      </c>
    </row>
    <row r="66" spans="1:25" ht="28.5" customHeight="1" x14ac:dyDescent="0.25">
      <c r="A66" s="20">
        <v>62</v>
      </c>
      <c r="B66" s="94" t="s">
        <v>162</v>
      </c>
      <c r="C66" s="63" t="s">
        <v>19</v>
      </c>
      <c r="D66" s="54" t="s">
        <v>72</v>
      </c>
      <c r="E66" s="53">
        <v>45927</v>
      </c>
      <c r="F66" s="22"/>
      <c r="G66" s="27"/>
      <c r="H66" s="37"/>
      <c r="I66" s="25">
        <v>1</v>
      </c>
      <c r="J66" s="76"/>
      <c r="K66" s="6">
        <v>2</v>
      </c>
      <c r="L66" s="6">
        <v>4</v>
      </c>
      <c r="M66" s="35">
        <v>1</v>
      </c>
      <c r="N66" s="25"/>
      <c r="O66" s="6"/>
      <c r="P66" s="6"/>
      <c r="Q66" s="6"/>
      <c r="R66" s="13"/>
      <c r="S66" s="71"/>
      <c r="T66" s="28"/>
      <c r="U66" s="28"/>
      <c r="V66" s="28"/>
      <c r="W66" s="28"/>
      <c r="X66" s="42">
        <f t="shared" si="0"/>
        <v>8</v>
      </c>
      <c r="Y66" s="87">
        <v>1235000</v>
      </c>
    </row>
    <row r="67" spans="1:25" ht="28.5" customHeight="1" x14ac:dyDescent="0.25">
      <c r="A67" s="20">
        <v>63</v>
      </c>
      <c r="B67" s="94" t="s">
        <v>163</v>
      </c>
      <c r="C67" s="63" t="s">
        <v>20</v>
      </c>
      <c r="D67" s="3" t="s">
        <v>41</v>
      </c>
      <c r="E67" s="53">
        <v>45927</v>
      </c>
      <c r="F67" s="22"/>
      <c r="G67" s="27"/>
      <c r="H67" s="37"/>
      <c r="I67" s="25"/>
      <c r="J67" s="76">
        <v>3</v>
      </c>
      <c r="K67" s="6"/>
      <c r="L67" s="6">
        <v>2</v>
      </c>
      <c r="M67" s="35">
        <v>2</v>
      </c>
      <c r="N67" s="25"/>
      <c r="O67" s="6"/>
      <c r="P67" s="6"/>
      <c r="Q67" s="6"/>
      <c r="R67" s="13"/>
      <c r="S67" s="71"/>
      <c r="T67" s="28"/>
      <c r="U67" s="28"/>
      <c r="V67" s="28"/>
      <c r="W67" s="28"/>
      <c r="X67" s="42">
        <f t="shared" si="0"/>
        <v>7</v>
      </c>
      <c r="Y67" s="87">
        <v>800000</v>
      </c>
    </row>
    <row r="68" spans="1:25" ht="28.5" customHeight="1" x14ac:dyDescent="0.25">
      <c r="A68" s="20">
        <v>64</v>
      </c>
      <c r="B68" s="63" t="s">
        <v>167</v>
      </c>
      <c r="C68" s="63" t="s">
        <v>20</v>
      </c>
      <c r="D68" s="54" t="s">
        <v>41</v>
      </c>
      <c r="E68" s="53">
        <v>45930</v>
      </c>
      <c r="F68" s="22"/>
      <c r="G68" s="27"/>
      <c r="H68" s="37"/>
      <c r="I68" s="25"/>
      <c r="J68" s="76">
        <v>2</v>
      </c>
      <c r="K68" s="6"/>
      <c r="L68" s="6"/>
      <c r="M68" s="35">
        <v>2</v>
      </c>
      <c r="N68" s="25"/>
      <c r="O68" s="6">
        <v>1</v>
      </c>
      <c r="P68" s="6"/>
      <c r="Q68" s="6"/>
      <c r="R68" s="13"/>
      <c r="S68" s="71"/>
      <c r="T68" s="28"/>
      <c r="U68" s="28"/>
      <c r="V68" s="28">
        <v>1</v>
      </c>
      <c r="W68" s="28"/>
      <c r="X68" s="42">
        <f t="shared" ref="X68:X122" si="3">SUM(F68:W68)</f>
        <v>6</v>
      </c>
      <c r="Y68" s="87">
        <v>1850000</v>
      </c>
    </row>
    <row r="69" spans="1:25" ht="28.5" customHeight="1" x14ac:dyDescent="0.25">
      <c r="A69" s="20">
        <v>65</v>
      </c>
      <c r="B69" s="63" t="s">
        <v>165</v>
      </c>
      <c r="C69" s="63" t="s">
        <v>19</v>
      </c>
      <c r="D69" s="54" t="s">
        <v>43</v>
      </c>
      <c r="E69" s="53">
        <v>45931</v>
      </c>
      <c r="F69" s="22"/>
      <c r="G69" s="27"/>
      <c r="H69" s="37"/>
      <c r="I69" s="25">
        <v>1</v>
      </c>
      <c r="J69" s="76">
        <v>1</v>
      </c>
      <c r="K69" s="6"/>
      <c r="L69" s="6">
        <v>1</v>
      </c>
      <c r="M69" s="35"/>
      <c r="N69" s="25"/>
      <c r="O69" s="6"/>
      <c r="P69" s="6"/>
      <c r="Q69" s="6"/>
      <c r="R69" s="13"/>
      <c r="S69" s="71"/>
      <c r="T69" s="28"/>
      <c r="U69" s="28"/>
      <c r="V69" s="28"/>
      <c r="W69" s="28"/>
      <c r="X69" s="42">
        <f t="shared" ref="X69:X70" si="4">SUM(F69:W69)</f>
        <v>3</v>
      </c>
      <c r="Y69" s="87">
        <v>1200000</v>
      </c>
    </row>
    <row r="70" spans="1:25" ht="28.5" customHeight="1" x14ac:dyDescent="0.25">
      <c r="A70" s="20">
        <v>66</v>
      </c>
      <c r="B70" s="63" t="s">
        <v>166</v>
      </c>
      <c r="C70" s="63" t="s">
        <v>19</v>
      </c>
      <c r="D70" s="54" t="s">
        <v>43</v>
      </c>
      <c r="E70" s="53">
        <v>45931</v>
      </c>
      <c r="F70" s="22"/>
      <c r="G70" s="27"/>
      <c r="H70" s="37"/>
      <c r="I70" s="25"/>
      <c r="J70" s="76"/>
      <c r="K70" s="6">
        <v>1</v>
      </c>
      <c r="L70" s="6">
        <v>2</v>
      </c>
      <c r="M70" s="35"/>
      <c r="N70" s="25"/>
      <c r="O70" s="6"/>
      <c r="P70" s="6"/>
      <c r="Q70" s="6"/>
      <c r="R70" s="13">
        <v>1</v>
      </c>
      <c r="S70" s="71"/>
      <c r="T70" s="28"/>
      <c r="U70" s="28"/>
      <c r="V70" s="28"/>
      <c r="W70" s="28"/>
      <c r="X70" s="42">
        <f t="shared" si="4"/>
        <v>4</v>
      </c>
      <c r="Y70" s="87">
        <v>1000000</v>
      </c>
    </row>
    <row r="71" spans="1:25" ht="28.5" customHeight="1" x14ac:dyDescent="0.25">
      <c r="A71" s="20">
        <v>67</v>
      </c>
      <c r="B71" s="63" t="s">
        <v>168</v>
      </c>
      <c r="C71" s="63" t="s">
        <v>20</v>
      </c>
      <c r="D71" s="3" t="s">
        <v>41</v>
      </c>
      <c r="E71" s="53">
        <v>45933</v>
      </c>
      <c r="F71" s="22"/>
      <c r="G71" s="27"/>
      <c r="H71" s="37"/>
      <c r="I71" s="25">
        <v>3</v>
      </c>
      <c r="J71" s="76"/>
      <c r="K71" s="6">
        <v>1</v>
      </c>
      <c r="L71" s="6">
        <v>1</v>
      </c>
      <c r="M71" s="35"/>
      <c r="N71" s="25"/>
      <c r="O71" s="6"/>
      <c r="P71" s="6"/>
      <c r="Q71" s="6"/>
      <c r="R71" s="13"/>
      <c r="S71" s="71"/>
      <c r="T71" s="28"/>
      <c r="U71" s="28"/>
      <c r="V71" s="28"/>
      <c r="W71" s="28"/>
      <c r="X71" s="42">
        <f t="shared" si="3"/>
        <v>5</v>
      </c>
      <c r="Y71" s="124">
        <v>1440000</v>
      </c>
    </row>
    <row r="72" spans="1:25" ht="28.5" customHeight="1" x14ac:dyDescent="0.25">
      <c r="A72" s="20">
        <v>68</v>
      </c>
      <c r="B72" s="63" t="s">
        <v>170</v>
      </c>
      <c r="C72" s="63" t="s">
        <v>20</v>
      </c>
      <c r="D72" s="54" t="s">
        <v>41</v>
      </c>
      <c r="E72" s="53">
        <v>45936</v>
      </c>
      <c r="F72" s="22"/>
      <c r="G72" s="27"/>
      <c r="H72" s="37"/>
      <c r="I72" s="25"/>
      <c r="J72" s="76"/>
      <c r="K72" s="6"/>
      <c r="L72" s="6"/>
      <c r="M72" s="35"/>
      <c r="N72" s="25"/>
      <c r="O72" s="6"/>
      <c r="P72" s="6">
        <v>1</v>
      </c>
      <c r="Q72" s="6"/>
      <c r="R72" s="13"/>
      <c r="S72" s="71"/>
      <c r="T72" s="28"/>
      <c r="U72" s="28"/>
      <c r="V72" s="28"/>
      <c r="W72" s="28"/>
      <c r="X72" s="42">
        <f t="shared" si="3"/>
        <v>1</v>
      </c>
      <c r="Y72" s="87">
        <v>950000</v>
      </c>
    </row>
    <row r="73" spans="1:25" ht="28.5" customHeight="1" x14ac:dyDescent="0.25">
      <c r="A73" s="20">
        <v>69</v>
      </c>
      <c r="B73" s="63" t="s">
        <v>172</v>
      </c>
      <c r="C73" s="63" t="s">
        <v>19</v>
      </c>
      <c r="D73" s="3" t="s">
        <v>41</v>
      </c>
      <c r="E73" s="53">
        <v>45938</v>
      </c>
      <c r="F73" s="22"/>
      <c r="G73" s="27"/>
      <c r="H73" s="37"/>
      <c r="I73" s="25">
        <v>2</v>
      </c>
      <c r="J73" s="76"/>
      <c r="K73" s="6"/>
      <c r="L73" s="6">
        <v>2</v>
      </c>
      <c r="M73" s="35">
        <v>2</v>
      </c>
      <c r="N73" s="25"/>
      <c r="O73" s="6"/>
      <c r="P73" s="6"/>
      <c r="Q73" s="6"/>
      <c r="R73" s="13"/>
      <c r="S73" s="104"/>
      <c r="T73" s="28"/>
      <c r="U73" s="28"/>
      <c r="V73" s="28"/>
      <c r="W73" s="28"/>
      <c r="X73" s="42">
        <f t="shared" si="3"/>
        <v>6</v>
      </c>
      <c r="Y73" s="22">
        <v>850000</v>
      </c>
    </row>
    <row r="74" spans="1:25" ht="28.5" customHeight="1" x14ac:dyDescent="0.25">
      <c r="A74" s="20">
        <v>70</v>
      </c>
      <c r="B74" s="63" t="s">
        <v>173</v>
      </c>
      <c r="C74" s="63" t="s">
        <v>20</v>
      </c>
      <c r="D74" s="3" t="s">
        <v>43</v>
      </c>
      <c r="E74" s="53">
        <v>45940</v>
      </c>
      <c r="F74" s="22"/>
      <c r="G74" s="27"/>
      <c r="H74" s="37"/>
      <c r="I74" s="25">
        <v>2</v>
      </c>
      <c r="J74" s="76">
        <v>1</v>
      </c>
      <c r="K74" s="6"/>
      <c r="L74" s="6"/>
      <c r="M74" s="35">
        <v>1</v>
      </c>
      <c r="N74" s="25"/>
      <c r="O74" s="6"/>
      <c r="P74" s="6"/>
      <c r="Q74" s="6"/>
      <c r="R74" s="13"/>
      <c r="S74" s="104"/>
      <c r="T74" s="28"/>
      <c r="U74" s="28"/>
      <c r="V74" s="28"/>
      <c r="W74" s="28"/>
      <c r="X74" s="42">
        <f t="shared" si="3"/>
        <v>4</v>
      </c>
      <c r="Y74" s="22">
        <v>1300000</v>
      </c>
    </row>
    <row r="75" spans="1:25" ht="28.5" customHeight="1" x14ac:dyDescent="0.25">
      <c r="A75" s="20">
        <v>71</v>
      </c>
      <c r="B75" s="63" t="s">
        <v>174</v>
      </c>
      <c r="C75" s="63" t="s">
        <v>20</v>
      </c>
      <c r="D75" s="54" t="s">
        <v>44</v>
      </c>
      <c r="E75" s="53">
        <v>45940</v>
      </c>
      <c r="F75" s="22"/>
      <c r="G75" s="27">
        <v>1</v>
      </c>
      <c r="H75" s="37"/>
      <c r="I75" s="25"/>
      <c r="J75" s="76">
        <v>1</v>
      </c>
      <c r="K75" s="6"/>
      <c r="L75" s="6"/>
      <c r="M75" s="35"/>
      <c r="N75" s="25"/>
      <c r="O75" s="6"/>
      <c r="P75" s="6"/>
      <c r="Q75" s="6"/>
      <c r="R75" s="13"/>
      <c r="S75" s="104"/>
      <c r="T75" s="28"/>
      <c r="U75" s="28"/>
      <c r="V75" s="28">
        <v>1</v>
      </c>
      <c r="W75" s="28">
        <v>1</v>
      </c>
      <c r="X75" s="42">
        <f t="shared" si="3"/>
        <v>4</v>
      </c>
      <c r="Y75" s="22">
        <v>900000</v>
      </c>
    </row>
    <row r="76" spans="1:25" ht="28.5" customHeight="1" x14ac:dyDescent="0.25">
      <c r="A76" s="20">
        <v>72</v>
      </c>
      <c r="B76" s="60" t="s">
        <v>175</v>
      </c>
      <c r="C76" s="60" t="s">
        <v>19</v>
      </c>
      <c r="D76" s="3" t="s">
        <v>72</v>
      </c>
      <c r="E76" s="53">
        <v>45944</v>
      </c>
      <c r="F76" s="22"/>
      <c r="G76" s="27"/>
      <c r="H76" s="37"/>
      <c r="I76" s="25">
        <v>3</v>
      </c>
      <c r="J76" s="76">
        <v>2</v>
      </c>
      <c r="K76" s="6">
        <v>1</v>
      </c>
      <c r="L76" s="6">
        <v>1</v>
      </c>
      <c r="M76" s="35">
        <v>1</v>
      </c>
      <c r="N76" s="25"/>
      <c r="O76" s="6"/>
      <c r="P76" s="6"/>
      <c r="Q76" s="6"/>
      <c r="R76" s="13"/>
      <c r="S76" s="104"/>
      <c r="T76" s="28"/>
      <c r="U76" s="28"/>
      <c r="V76" s="28"/>
      <c r="W76" s="28"/>
      <c r="X76" s="42">
        <f t="shared" si="3"/>
        <v>8</v>
      </c>
      <c r="Y76" s="22">
        <v>2136442</v>
      </c>
    </row>
    <row r="77" spans="1:25" ht="28.5" customHeight="1" x14ac:dyDescent="0.25">
      <c r="A77" s="20">
        <v>73</v>
      </c>
      <c r="B77" s="63" t="s">
        <v>176</v>
      </c>
      <c r="C77" s="63" t="s">
        <v>19</v>
      </c>
      <c r="D77" s="3" t="s">
        <v>42</v>
      </c>
      <c r="E77" s="53">
        <v>45945</v>
      </c>
      <c r="F77" s="22"/>
      <c r="G77" s="27"/>
      <c r="H77" s="37"/>
      <c r="I77" s="25"/>
      <c r="J77" s="76"/>
      <c r="K77" s="6"/>
      <c r="L77" s="6"/>
      <c r="M77" s="35"/>
      <c r="N77" s="25"/>
      <c r="O77" s="6"/>
      <c r="P77" s="6"/>
      <c r="Q77" s="6"/>
      <c r="R77" s="13">
        <v>1</v>
      </c>
      <c r="S77" s="105"/>
      <c r="T77" s="39"/>
      <c r="U77" s="28"/>
      <c r="V77" s="28"/>
      <c r="W77" s="28"/>
      <c r="X77" s="42">
        <f t="shared" si="3"/>
        <v>1</v>
      </c>
      <c r="Y77" s="22">
        <v>1000000</v>
      </c>
    </row>
    <row r="78" spans="1:25" ht="28.5" customHeight="1" x14ac:dyDescent="0.25">
      <c r="A78" s="20">
        <v>74</v>
      </c>
      <c r="B78" s="63" t="s">
        <v>177</v>
      </c>
      <c r="C78" s="63" t="s">
        <v>20</v>
      </c>
      <c r="D78" s="54" t="s">
        <v>41</v>
      </c>
      <c r="E78" s="53">
        <v>45946</v>
      </c>
      <c r="F78" s="22"/>
      <c r="G78" s="27"/>
      <c r="H78" s="37"/>
      <c r="I78" s="25">
        <v>1</v>
      </c>
      <c r="J78" s="76"/>
      <c r="K78" s="6"/>
      <c r="L78" s="6">
        <v>1</v>
      </c>
      <c r="M78" s="35"/>
      <c r="N78" s="25"/>
      <c r="O78" s="6"/>
      <c r="P78" s="6"/>
      <c r="Q78" s="6"/>
      <c r="R78" s="13"/>
      <c r="S78" s="105"/>
      <c r="T78" s="39"/>
      <c r="U78" s="28"/>
      <c r="V78" s="28"/>
      <c r="W78" s="28"/>
      <c r="X78" s="42">
        <f t="shared" si="3"/>
        <v>2</v>
      </c>
      <c r="Y78" s="26">
        <v>900000</v>
      </c>
    </row>
    <row r="79" spans="1:25" ht="28.5" customHeight="1" x14ac:dyDescent="0.25">
      <c r="A79" s="20">
        <v>75</v>
      </c>
      <c r="B79" s="63" t="s">
        <v>178</v>
      </c>
      <c r="C79" s="63" t="s">
        <v>20</v>
      </c>
      <c r="D79" s="54" t="s">
        <v>72</v>
      </c>
      <c r="E79" s="53">
        <v>45946</v>
      </c>
      <c r="F79" s="22"/>
      <c r="G79" s="27"/>
      <c r="H79" s="37"/>
      <c r="I79" s="25">
        <v>1</v>
      </c>
      <c r="J79" s="76"/>
      <c r="K79" s="6">
        <v>3</v>
      </c>
      <c r="L79" s="6">
        <v>1</v>
      </c>
      <c r="M79" s="35"/>
      <c r="N79" s="25"/>
      <c r="O79" s="6"/>
      <c r="P79" s="6"/>
      <c r="Q79" s="6"/>
      <c r="R79" s="13"/>
      <c r="S79" s="105"/>
      <c r="T79" s="39"/>
      <c r="U79" s="28"/>
      <c r="V79" s="28"/>
      <c r="W79" s="28"/>
      <c r="X79" s="42">
        <f t="shared" si="3"/>
        <v>5</v>
      </c>
      <c r="Y79" s="26">
        <v>1600000</v>
      </c>
    </row>
    <row r="80" spans="1:25" ht="28.5" customHeight="1" x14ac:dyDescent="0.25">
      <c r="A80" s="20">
        <v>76</v>
      </c>
      <c r="B80" s="63" t="s">
        <v>179</v>
      </c>
      <c r="C80" s="63" t="s">
        <v>19</v>
      </c>
      <c r="D80" s="54" t="s">
        <v>42</v>
      </c>
      <c r="E80" s="53">
        <v>45947</v>
      </c>
      <c r="F80" s="22"/>
      <c r="G80" s="27"/>
      <c r="H80" s="37"/>
      <c r="I80" s="25"/>
      <c r="J80" s="76"/>
      <c r="K80" s="6"/>
      <c r="L80" s="6"/>
      <c r="M80" s="35"/>
      <c r="N80" s="25"/>
      <c r="O80" s="6"/>
      <c r="P80" s="6"/>
      <c r="Q80" s="6"/>
      <c r="R80" s="13"/>
      <c r="S80" s="105"/>
      <c r="T80" s="39">
        <v>1</v>
      </c>
      <c r="U80" s="28"/>
      <c r="V80" s="28">
        <v>1</v>
      </c>
      <c r="W80" s="28"/>
      <c r="X80" s="42">
        <f t="shared" si="3"/>
        <v>2</v>
      </c>
      <c r="Y80" s="26">
        <v>700000</v>
      </c>
    </row>
    <row r="81" spans="1:25" ht="28.5" customHeight="1" x14ac:dyDescent="0.25">
      <c r="A81" s="20">
        <v>77</v>
      </c>
      <c r="B81" s="63" t="s">
        <v>180</v>
      </c>
      <c r="C81" s="63" t="s">
        <v>20</v>
      </c>
      <c r="D81" s="54" t="s">
        <v>42</v>
      </c>
      <c r="E81" s="53">
        <v>45947</v>
      </c>
      <c r="F81" s="22"/>
      <c r="G81" s="27"/>
      <c r="H81" s="37"/>
      <c r="I81" s="25">
        <v>1</v>
      </c>
      <c r="J81" s="76"/>
      <c r="K81" s="6"/>
      <c r="L81" s="6"/>
      <c r="M81" s="35"/>
      <c r="N81" s="25"/>
      <c r="O81" s="6"/>
      <c r="P81" s="6"/>
      <c r="Q81" s="6"/>
      <c r="R81" s="13"/>
      <c r="S81" s="105"/>
      <c r="T81" s="39"/>
      <c r="U81" s="28"/>
      <c r="V81" s="28"/>
      <c r="W81" s="28"/>
      <c r="X81" s="42">
        <f t="shared" si="3"/>
        <v>1</v>
      </c>
      <c r="Y81" s="26">
        <v>750000</v>
      </c>
    </row>
    <row r="82" spans="1:25" ht="28.5" customHeight="1" x14ac:dyDescent="0.25">
      <c r="A82" s="20">
        <v>78</v>
      </c>
      <c r="B82" s="63" t="s">
        <v>180</v>
      </c>
      <c r="C82" s="63" t="s">
        <v>19</v>
      </c>
      <c r="D82" s="54" t="s">
        <v>44</v>
      </c>
      <c r="E82" s="53">
        <v>45947</v>
      </c>
      <c r="F82" s="22"/>
      <c r="G82" s="27"/>
      <c r="H82" s="37"/>
      <c r="I82" s="25"/>
      <c r="J82" s="76"/>
      <c r="K82" s="6">
        <v>1</v>
      </c>
      <c r="L82" s="6">
        <v>1</v>
      </c>
      <c r="M82" s="35"/>
      <c r="N82" s="25"/>
      <c r="O82" s="6"/>
      <c r="P82" s="6"/>
      <c r="Q82" s="6"/>
      <c r="R82" s="13"/>
      <c r="S82" s="105"/>
      <c r="T82" s="39"/>
      <c r="U82" s="28"/>
      <c r="V82" s="28"/>
      <c r="W82" s="28"/>
      <c r="X82" s="42">
        <f t="shared" si="3"/>
        <v>2</v>
      </c>
      <c r="Y82" s="26">
        <v>750000</v>
      </c>
    </row>
    <row r="83" spans="1:25" ht="28.5" customHeight="1" x14ac:dyDescent="0.25">
      <c r="A83" s="20">
        <v>79</v>
      </c>
      <c r="B83" s="63" t="s">
        <v>181</v>
      </c>
      <c r="C83" s="63" t="s">
        <v>20</v>
      </c>
      <c r="D83" s="54" t="s">
        <v>44</v>
      </c>
      <c r="E83" s="53">
        <v>45947</v>
      </c>
      <c r="F83" s="22"/>
      <c r="G83" s="27"/>
      <c r="H83" s="37"/>
      <c r="I83" s="25"/>
      <c r="J83" s="76">
        <v>2</v>
      </c>
      <c r="K83" s="6"/>
      <c r="L83" s="6">
        <v>3</v>
      </c>
      <c r="M83" s="35"/>
      <c r="N83" s="25"/>
      <c r="O83" s="6"/>
      <c r="P83" s="6"/>
      <c r="Q83" s="6"/>
      <c r="R83" s="13"/>
      <c r="S83" s="105"/>
      <c r="T83" s="39"/>
      <c r="U83" s="28"/>
      <c r="V83" s="28"/>
      <c r="W83" s="28"/>
      <c r="X83" s="42">
        <f t="shared" ref="X83:X84" si="5">SUM(F83:W83)</f>
        <v>5</v>
      </c>
      <c r="Y83" s="26">
        <v>919423</v>
      </c>
    </row>
    <row r="84" spans="1:25" ht="28.5" customHeight="1" x14ac:dyDescent="0.25">
      <c r="A84" s="20">
        <v>80</v>
      </c>
      <c r="B84" s="63" t="s">
        <v>185</v>
      </c>
      <c r="C84" s="63" t="s">
        <v>20</v>
      </c>
      <c r="D84" s="54" t="s">
        <v>42</v>
      </c>
      <c r="E84" s="53">
        <v>45947</v>
      </c>
      <c r="F84" s="22"/>
      <c r="G84" s="27"/>
      <c r="H84" s="37"/>
      <c r="I84" s="25"/>
      <c r="J84" s="76"/>
      <c r="K84" s="6"/>
      <c r="L84" s="6"/>
      <c r="M84" s="35"/>
      <c r="N84" s="25"/>
      <c r="O84" s="6"/>
      <c r="P84" s="6"/>
      <c r="Q84" s="6"/>
      <c r="R84" s="13"/>
      <c r="S84" s="105"/>
      <c r="T84" s="39"/>
      <c r="U84" s="28"/>
      <c r="V84" s="28"/>
      <c r="W84" s="28"/>
      <c r="X84" s="42">
        <f t="shared" si="5"/>
        <v>0</v>
      </c>
      <c r="Y84" s="26"/>
    </row>
    <row r="85" spans="1:25" ht="28.5" customHeight="1" x14ac:dyDescent="0.25">
      <c r="A85" s="20">
        <v>81</v>
      </c>
      <c r="B85" s="63" t="s">
        <v>182</v>
      </c>
      <c r="C85" s="63" t="s">
        <v>19</v>
      </c>
      <c r="D85" s="54" t="s">
        <v>42</v>
      </c>
      <c r="E85" s="53">
        <v>45953</v>
      </c>
      <c r="F85" s="22"/>
      <c r="G85" s="27"/>
      <c r="H85" s="37"/>
      <c r="I85" s="25"/>
      <c r="J85" s="76"/>
      <c r="K85" s="6"/>
      <c r="L85" s="6"/>
      <c r="M85" s="35"/>
      <c r="N85" s="25"/>
      <c r="O85" s="6"/>
      <c r="P85" s="6"/>
      <c r="Q85" s="6"/>
      <c r="R85" s="13"/>
      <c r="S85" s="105"/>
      <c r="T85" s="39"/>
      <c r="U85" s="28"/>
      <c r="V85" s="28">
        <v>1</v>
      </c>
      <c r="W85" s="28"/>
      <c r="X85" s="42">
        <f t="shared" si="3"/>
        <v>1</v>
      </c>
      <c r="Y85" s="26">
        <v>1160000</v>
      </c>
    </row>
    <row r="86" spans="1:25" ht="28.5" customHeight="1" x14ac:dyDescent="0.25">
      <c r="A86" s="20">
        <v>82</v>
      </c>
      <c r="B86" s="63" t="s">
        <v>183</v>
      </c>
      <c r="C86" s="63" t="s">
        <v>20</v>
      </c>
      <c r="D86" s="54" t="s">
        <v>41</v>
      </c>
      <c r="E86" s="53">
        <v>45953</v>
      </c>
      <c r="F86" s="22"/>
      <c r="G86" s="27"/>
      <c r="H86" s="37"/>
      <c r="I86" s="25">
        <v>3</v>
      </c>
      <c r="J86" s="76"/>
      <c r="K86" s="6">
        <v>1</v>
      </c>
      <c r="L86" s="6">
        <v>2</v>
      </c>
      <c r="M86" s="35"/>
      <c r="N86" s="25"/>
      <c r="O86" s="6"/>
      <c r="P86" s="6"/>
      <c r="Q86" s="6"/>
      <c r="R86" s="13"/>
      <c r="S86" s="105"/>
      <c r="T86" s="39"/>
      <c r="U86" s="28"/>
      <c r="V86" s="28"/>
      <c r="W86" s="28"/>
      <c r="X86" s="42">
        <f t="shared" si="3"/>
        <v>6</v>
      </c>
      <c r="Y86" s="26">
        <v>1200000</v>
      </c>
    </row>
    <row r="87" spans="1:25" ht="28.5" customHeight="1" thickBot="1" x14ac:dyDescent="0.3">
      <c r="A87" s="20">
        <v>83</v>
      </c>
      <c r="B87" s="51" t="s">
        <v>123</v>
      </c>
      <c r="C87" s="51" t="s">
        <v>20</v>
      </c>
      <c r="D87" s="3" t="s">
        <v>41</v>
      </c>
      <c r="E87" s="53">
        <v>45959</v>
      </c>
      <c r="F87" s="26"/>
      <c r="G87" s="27"/>
      <c r="H87" s="37"/>
      <c r="I87" s="25">
        <v>1</v>
      </c>
      <c r="J87" s="76"/>
      <c r="K87" s="6">
        <v>1</v>
      </c>
      <c r="L87" s="6">
        <v>2</v>
      </c>
      <c r="M87" s="35"/>
      <c r="N87" s="25"/>
      <c r="O87" s="6"/>
      <c r="P87" s="6"/>
      <c r="Q87" s="6"/>
      <c r="R87" s="13"/>
      <c r="S87" s="104"/>
      <c r="T87" s="28"/>
      <c r="U87" s="28"/>
      <c r="V87" s="28"/>
      <c r="W87" s="28"/>
      <c r="X87" s="42">
        <f t="shared" si="3"/>
        <v>4</v>
      </c>
      <c r="Y87" s="26">
        <v>1875000</v>
      </c>
    </row>
    <row r="88" spans="1:25" ht="28.5" customHeight="1" thickBot="1" x14ac:dyDescent="0.3">
      <c r="A88" s="20">
        <v>84</v>
      </c>
      <c r="B88" s="51" t="s">
        <v>190</v>
      </c>
      <c r="C88" s="51" t="s">
        <v>19</v>
      </c>
      <c r="D88" s="3" t="s">
        <v>47</v>
      </c>
      <c r="E88" s="53">
        <v>45959</v>
      </c>
      <c r="F88" s="109"/>
      <c r="G88" s="27"/>
      <c r="H88" s="70">
        <v>1</v>
      </c>
      <c r="I88" s="25">
        <v>8</v>
      </c>
      <c r="J88" s="76">
        <v>14</v>
      </c>
      <c r="K88" s="6">
        <v>2</v>
      </c>
      <c r="L88" s="6">
        <v>7</v>
      </c>
      <c r="M88" s="35">
        <v>9</v>
      </c>
      <c r="N88" s="25">
        <v>1</v>
      </c>
      <c r="O88" s="6">
        <v>8</v>
      </c>
      <c r="P88" s="6">
        <v>3</v>
      </c>
      <c r="Q88" s="6">
        <v>3</v>
      </c>
      <c r="R88" s="13">
        <v>3</v>
      </c>
      <c r="S88" s="104"/>
      <c r="T88" s="71"/>
      <c r="U88" s="71"/>
      <c r="V88" s="71"/>
      <c r="W88" s="71">
        <v>8</v>
      </c>
      <c r="X88" s="42">
        <f t="shared" si="3"/>
        <v>67</v>
      </c>
      <c r="Y88" s="26">
        <v>360000</v>
      </c>
    </row>
    <row r="89" spans="1:25" ht="28.5" customHeight="1" x14ac:dyDescent="0.25">
      <c r="A89" s="20">
        <v>85</v>
      </c>
      <c r="B89" s="51" t="s">
        <v>151</v>
      </c>
      <c r="C89" s="63" t="s">
        <v>19</v>
      </c>
      <c r="D89" s="54" t="s">
        <v>42</v>
      </c>
      <c r="E89" s="53">
        <v>45961</v>
      </c>
      <c r="F89" s="21"/>
      <c r="G89" s="27"/>
      <c r="H89" s="70"/>
      <c r="I89" s="25"/>
      <c r="J89" s="76"/>
      <c r="K89" s="6"/>
      <c r="L89" s="6"/>
      <c r="M89" s="35"/>
      <c r="N89" s="25"/>
      <c r="O89" s="6">
        <v>3</v>
      </c>
      <c r="P89" s="6"/>
      <c r="Q89" s="6"/>
      <c r="R89" s="13"/>
      <c r="S89" s="71"/>
      <c r="T89" s="71"/>
      <c r="U89" s="71"/>
      <c r="V89" s="71"/>
      <c r="W89" s="71"/>
      <c r="X89" s="42">
        <f>SUM(F89:W89)</f>
        <v>3</v>
      </c>
      <c r="Y89" s="87">
        <v>2364000</v>
      </c>
    </row>
    <row r="90" spans="1:25" ht="28.5" customHeight="1" x14ac:dyDescent="0.25">
      <c r="A90" s="20">
        <v>86</v>
      </c>
      <c r="B90" s="51" t="s">
        <v>191</v>
      </c>
      <c r="C90" s="63" t="s">
        <v>19</v>
      </c>
      <c r="D90" s="54" t="s">
        <v>42</v>
      </c>
      <c r="E90" s="53">
        <v>45964</v>
      </c>
      <c r="F90" s="22"/>
      <c r="G90" s="27"/>
      <c r="H90" s="70"/>
      <c r="I90" s="25"/>
      <c r="J90" s="76"/>
      <c r="K90" s="6"/>
      <c r="L90" s="6"/>
      <c r="M90" s="35"/>
      <c r="N90" s="25"/>
      <c r="O90" s="6"/>
      <c r="P90" s="6"/>
      <c r="Q90" s="6"/>
      <c r="R90" s="13"/>
      <c r="S90" s="71"/>
      <c r="T90" s="71"/>
      <c r="U90" s="71"/>
      <c r="V90" s="71">
        <v>6</v>
      </c>
      <c r="W90" s="71">
        <v>2</v>
      </c>
      <c r="X90" s="42">
        <f t="shared" si="3"/>
        <v>8</v>
      </c>
      <c r="Y90" s="87">
        <v>956000</v>
      </c>
    </row>
    <row r="91" spans="1:25" ht="28.5" customHeight="1" x14ac:dyDescent="0.25">
      <c r="A91" s="20">
        <v>87</v>
      </c>
      <c r="B91" s="51" t="s">
        <v>197</v>
      </c>
      <c r="C91" s="63" t="s">
        <v>19</v>
      </c>
      <c r="D91" s="54" t="s">
        <v>42</v>
      </c>
      <c r="E91" s="53">
        <v>45961</v>
      </c>
      <c r="F91" s="22"/>
      <c r="G91" s="27"/>
      <c r="H91" s="70"/>
      <c r="I91" s="25"/>
      <c r="J91" s="76"/>
      <c r="K91" s="6"/>
      <c r="L91" s="6">
        <v>1</v>
      </c>
      <c r="M91" s="35"/>
      <c r="N91" s="25"/>
      <c r="O91" s="6"/>
      <c r="P91" s="6">
        <v>2</v>
      </c>
      <c r="Q91" s="6"/>
      <c r="R91" s="13"/>
      <c r="S91" s="71"/>
      <c r="T91" s="71"/>
      <c r="U91" s="71"/>
      <c r="V91" s="71">
        <v>1</v>
      </c>
      <c r="W91" s="71"/>
      <c r="X91" s="42">
        <f t="shared" si="3"/>
        <v>4</v>
      </c>
      <c r="Y91" s="87">
        <v>1088038</v>
      </c>
    </row>
    <row r="92" spans="1:25" ht="28.5" customHeight="1" thickBot="1" x14ac:dyDescent="0.3">
      <c r="A92" s="20">
        <v>88</v>
      </c>
      <c r="B92" s="51" t="s">
        <v>192</v>
      </c>
      <c r="C92" s="63" t="s">
        <v>20</v>
      </c>
      <c r="D92" s="54" t="s">
        <v>41</v>
      </c>
      <c r="E92" s="53">
        <v>45961</v>
      </c>
      <c r="F92" s="26"/>
      <c r="G92" s="27"/>
      <c r="H92" s="70"/>
      <c r="I92" s="25"/>
      <c r="J92" s="76"/>
      <c r="K92" s="6">
        <v>1</v>
      </c>
      <c r="L92" s="6"/>
      <c r="M92" s="35"/>
      <c r="N92" s="25"/>
      <c r="O92" s="6"/>
      <c r="P92" s="6"/>
      <c r="Q92" s="6"/>
      <c r="R92" s="13"/>
      <c r="S92" s="71"/>
      <c r="T92" s="71"/>
      <c r="U92" s="71"/>
      <c r="V92" s="71"/>
      <c r="W92" s="71"/>
      <c r="X92" s="42">
        <f t="shared" si="3"/>
        <v>1</v>
      </c>
      <c r="Y92" s="87">
        <v>950000</v>
      </c>
    </row>
    <row r="93" spans="1:25" ht="28.5" customHeight="1" thickBot="1" x14ac:dyDescent="0.3">
      <c r="A93" s="20">
        <v>89</v>
      </c>
      <c r="B93" s="63" t="s">
        <v>193</v>
      </c>
      <c r="C93" s="63" t="s">
        <v>19</v>
      </c>
      <c r="D93" s="54" t="s">
        <v>72</v>
      </c>
      <c r="E93" s="53">
        <v>45964</v>
      </c>
      <c r="F93" s="109"/>
      <c r="G93" s="27"/>
      <c r="H93" s="70"/>
      <c r="I93" s="25"/>
      <c r="J93" s="76"/>
      <c r="K93" s="6">
        <v>5</v>
      </c>
      <c r="L93" s="6">
        <v>3</v>
      </c>
      <c r="M93" s="35"/>
      <c r="N93" s="25"/>
      <c r="O93" s="6">
        <v>2</v>
      </c>
      <c r="P93" s="6"/>
      <c r="Q93" s="6">
        <v>1</v>
      </c>
      <c r="R93" s="13">
        <v>2</v>
      </c>
      <c r="S93" s="71"/>
      <c r="T93" s="71"/>
      <c r="U93" s="71"/>
      <c r="V93" s="71"/>
      <c r="W93" s="71"/>
      <c r="X93" s="42">
        <f t="shared" si="3"/>
        <v>13</v>
      </c>
      <c r="Y93" s="87">
        <v>1200000</v>
      </c>
    </row>
    <row r="94" spans="1:25" ht="28.5" customHeight="1" x14ac:dyDescent="0.25">
      <c r="A94" s="20">
        <v>90</v>
      </c>
      <c r="B94" s="63" t="s">
        <v>194</v>
      </c>
      <c r="C94" s="63" t="s">
        <v>20</v>
      </c>
      <c r="D94" s="3" t="s">
        <v>41</v>
      </c>
      <c r="E94" s="53">
        <v>45967</v>
      </c>
      <c r="F94" s="21"/>
      <c r="G94" s="27"/>
      <c r="H94" s="70"/>
      <c r="I94" s="25">
        <v>1</v>
      </c>
      <c r="J94" s="76">
        <v>1</v>
      </c>
      <c r="K94" s="6"/>
      <c r="L94" s="6"/>
      <c r="M94" s="35">
        <v>3</v>
      </c>
      <c r="N94" s="25"/>
      <c r="O94" s="6"/>
      <c r="P94" s="6"/>
      <c r="Q94" s="6"/>
      <c r="R94" s="13">
        <v>2</v>
      </c>
      <c r="S94" s="71"/>
      <c r="T94" s="71"/>
      <c r="U94" s="71"/>
      <c r="V94" s="71"/>
      <c r="W94" s="71"/>
      <c r="X94" s="42">
        <f t="shared" si="3"/>
        <v>7</v>
      </c>
      <c r="Y94" s="87">
        <v>755000</v>
      </c>
    </row>
    <row r="95" spans="1:25" ht="28.5" customHeight="1" x14ac:dyDescent="0.25">
      <c r="A95" s="20">
        <v>91</v>
      </c>
      <c r="B95" s="63" t="s">
        <v>195</v>
      </c>
      <c r="C95" s="63" t="s">
        <v>19</v>
      </c>
      <c r="D95" s="54" t="s">
        <v>42</v>
      </c>
      <c r="E95" s="53">
        <v>45967</v>
      </c>
      <c r="F95" s="22"/>
      <c r="G95" s="27"/>
      <c r="H95" s="70">
        <v>1</v>
      </c>
      <c r="I95" s="25"/>
      <c r="J95" s="76"/>
      <c r="K95" s="6"/>
      <c r="L95" s="6"/>
      <c r="M95" s="35"/>
      <c r="N95" s="25"/>
      <c r="O95" s="6">
        <v>1</v>
      </c>
      <c r="P95" s="6">
        <v>3</v>
      </c>
      <c r="Q95" s="6">
        <v>1</v>
      </c>
      <c r="R95" s="13"/>
      <c r="S95" s="71"/>
      <c r="T95" s="71"/>
      <c r="U95" s="71"/>
      <c r="V95" s="71">
        <v>2</v>
      </c>
      <c r="W95" s="71"/>
      <c r="X95" s="42">
        <f t="shared" si="3"/>
        <v>8</v>
      </c>
      <c r="Y95" s="87">
        <v>750000</v>
      </c>
    </row>
    <row r="96" spans="1:25" ht="28.5" customHeight="1" x14ac:dyDescent="0.25">
      <c r="A96" s="20">
        <v>92</v>
      </c>
      <c r="B96" s="2" t="s">
        <v>196</v>
      </c>
      <c r="C96" s="63" t="s">
        <v>19</v>
      </c>
      <c r="D96" s="3" t="s">
        <v>46</v>
      </c>
      <c r="E96" s="53">
        <v>45968</v>
      </c>
      <c r="F96" s="22"/>
      <c r="G96" s="27"/>
      <c r="H96" s="70"/>
      <c r="I96" s="25">
        <v>4</v>
      </c>
      <c r="J96" s="76">
        <v>2</v>
      </c>
      <c r="K96" s="6">
        <v>1</v>
      </c>
      <c r="L96" s="6">
        <v>3</v>
      </c>
      <c r="M96" s="35">
        <v>4</v>
      </c>
      <c r="N96" s="25"/>
      <c r="O96" s="6"/>
      <c r="P96" s="6"/>
      <c r="Q96" s="6"/>
      <c r="R96" s="13"/>
      <c r="S96" s="71"/>
      <c r="T96" s="71"/>
      <c r="U96" s="71"/>
      <c r="V96" s="71"/>
      <c r="W96" s="71"/>
      <c r="X96" s="42">
        <f t="shared" si="3"/>
        <v>14</v>
      </c>
      <c r="Y96" s="87">
        <v>1921000</v>
      </c>
    </row>
    <row r="97" spans="1:25" ht="28.5" customHeight="1" x14ac:dyDescent="0.25">
      <c r="A97" s="20">
        <v>93</v>
      </c>
      <c r="B97" s="63" t="s">
        <v>198</v>
      </c>
      <c r="C97" s="63" t="s">
        <v>19</v>
      </c>
      <c r="D97" s="3" t="s">
        <v>42</v>
      </c>
      <c r="E97" s="53">
        <v>45971</v>
      </c>
      <c r="F97" s="22"/>
      <c r="G97" s="27"/>
      <c r="H97" s="37"/>
      <c r="I97" s="25"/>
      <c r="J97" s="76"/>
      <c r="K97" s="6"/>
      <c r="L97" s="6"/>
      <c r="M97" s="35"/>
      <c r="N97" s="25"/>
      <c r="O97" s="6"/>
      <c r="P97" s="6">
        <v>2</v>
      </c>
      <c r="Q97" s="6"/>
      <c r="R97" s="13"/>
      <c r="S97" s="105"/>
      <c r="T97" s="39">
        <v>3</v>
      </c>
      <c r="U97" s="28"/>
      <c r="V97" s="28"/>
      <c r="W97" s="28">
        <v>12</v>
      </c>
      <c r="X97" s="42">
        <f t="shared" si="3"/>
        <v>17</v>
      </c>
      <c r="Y97" s="26">
        <v>1050000</v>
      </c>
    </row>
    <row r="98" spans="1:25" ht="28.5" customHeight="1" x14ac:dyDescent="0.25">
      <c r="A98" s="20">
        <v>94</v>
      </c>
      <c r="B98" s="60" t="s">
        <v>202</v>
      </c>
      <c r="C98" s="64" t="s">
        <v>19</v>
      </c>
      <c r="D98" s="54" t="s">
        <v>42</v>
      </c>
      <c r="E98" s="98">
        <v>45971</v>
      </c>
      <c r="F98" s="26"/>
      <c r="G98" s="27"/>
      <c r="H98" s="37"/>
      <c r="I98" s="25"/>
      <c r="J98" s="76"/>
      <c r="K98" s="6"/>
      <c r="L98" s="6"/>
      <c r="M98" s="35"/>
      <c r="N98" s="25"/>
      <c r="O98" s="6">
        <v>1</v>
      </c>
      <c r="P98" s="6"/>
      <c r="Q98" s="6"/>
      <c r="R98" s="13"/>
      <c r="S98" s="105"/>
      <c r="T98" s="39"/>
      <c r="U98" s="28"/>
      <c r="V98" s="28"/>
      <c r="W98" s="28"/>
      <c r="X98" s="42">
        <f t="shared" si="3"/>
        <v>1</v>
      </c>
      <c r="Y98" s="26">
        <v>3174905</v>
      </c>
    </row>
    <row r="99" spans="1:25" ht="28.5" customHeight="1" x14ac:dyDescent="0.25">
      <c r="A99" s="20">
        <v>95</v>
      </c>
      <c r="B99" s="51" t="s">
        <v>203</v>
      </c>
      <c r="C99" s="51" t="s">
        <v>19</v>
      </c>
      <c r="D99" s="3" t="s">
        <v>42</v>
      </c>
      <c r="E99" s="53">
        <v>45971</v>
      </c>
      <c r="F99" s="22"/>
      <c r="G99" s="25"/>
      <c r="H99" s="35"/>
      <c r="I99" s="25"/>
      <c r="J99" s="76"/>
      <c r="K99" s="6"/>
      <c r="L99" s="6"/>
      <c r="M99" s="35"/>
      <c r="N99" s="25"/>
      <c r="O99" s="6"/>
      <c r="P99" s="6"/>
      <c r="Q99" s="6">
        <v>1</v>
      </c>
      <c r="R99" s="13"/>
      <c r="S99" s="76"/>
      <c r="T99" s="6"/>
      <c r="U99" s="6"/>
      <c r="V99" s="6"/>
      <c r="W99" s="6"/>
      <c r="X99" s="42">
        <f t="shared" si="3"/>
        <v>1</v>
      </c>
      <c r="Y99" s="6">
        <v>800000</v>
      </c>
    </row>
    <row r="100" spans="1:25" ht="28.5" customHeight="1" x14ac:dyDescent="0.25">
      <c r="A100" s="20">
        <v>96</v>
      </c>
      <c r="B100" s="51" t="s">
        <v>204</v>
      </c>
      <c r="C100" s="51" t="s">
        <v>19</v>
      </c>
      <c r="D100" s="3" t="s">
        <v>42</v>
      </c>
      <c r="E100" s="53">
        <v>45972</v>
      </c>
      <c r="F100" s="22"/>
      <c r="G100" s="27"/>
      <c r="H100" s="37"/>
      <c r="I100" s="25"/>
      <c r="J100" s="76"/>
      <c r="K100" s="6"/>
      <c r="L100" s="6"/>
      <c r="M100" s="35"/>
      <c r="N100" s="25"/>
      <c r="O100" s="6"/>
      <c r="P100" s="6"/>
      <c r="Q100" s="6"/>
      <c r="R100" s="13"/>
      <c r="S100" s="71"/>
      <c r="T100" s="28"/>
      <c r="U100" s="28"/>
      <c r="V100" s="28">
        <v>2</v>
      </c>
      <c r="W100" s="28"/>
      <c r="X100" s="42">
        <f t="shared" si="3"/>
        <v>2</v>
      </c>
      <c r="Y100" s="6">
        <v>850000</v>
      </c>
    </row>
    <row r="101" spans="1:25" ht="28.5" customHeight="1" x14ac:dyDescent="0.25">
      <c r="A101" s="20">
        <v>97</v>
      </c>
      <c r="B101" s="51" t="s">
        <v>205</v>
      </c>
      <c r="C101" s="51" t="s">
        <v>19</v>
      </c>
      <c r="D101" s="3" t="s">
        <v>42</v>
      </c>
      <c r="E101" s="53">
        <v>45972</v>
      </c>
      <c r="F101" s="22"/>
      <c r="G101" s="27"/>
      <c r="H101" s="37"/>
      <c r="I101" s="25"/>
      <c r="J101" s="76"/>
      <c r="K101" s="6"/>
      <c r="L101" s="6"/>
      <c r="M101" s="35"/>
      <c r="N101" s="25"/>
      <c r="O101" s="6"/>
      <c r="P101" s="6"/>
      <c r="Q101" s="6"/>
      <c r="R101" s="13"/>
      <c r="S101" s="71">
        <v>5</v>
      </c>
      <c r="T101" s="28"/>
      <c r="U101" s="28"/>
      <c r="V101" s="28"/>
      <c r="W101" s="28"/>
      <c r="X101" s="42">
        <f t="shared" si="3"/>
        <v>5</v>
      </c>
      <c r="Y101" s="6">
        <v>500000</v>
      </c>
    </row>
    <row r="102" spans="1:25" ht="28.5" customHeight="1" x14ac:dyDescent="0.25">
      <c r="A102" s="20">
        <v>98</v>
      </c>
      <c r="B102" s="51" t="s">
        <v>208</v>
      </c>
      <c r="C102" s="51" t="s">
        <v>20</v>
      </c>
      <c r="D102" s="3" t="s">
        <v>41</v>
      </c>
      <c r="E102" s="53">
        <v>45973</v>
      </c>
      <c r="F102" s="22"/>
      <c r="G102" s="27"/>
      <c r="H102" s="37"/>
      <c r="I102" s="25"/>
      <c r="J102" s="76">
        <v>1</v>
      </c>
      <c r="K102" s="6"/>
      <c r="L102" s="6"/>
      <c r="M102" s="35"/>
      <c r="N102" s="25"/>
      <c r="O102" s="6"/>
      <c r="P102" s="6"/>
      <c r="Q102" s="6"/>
      <c r="R102" s="13"/>
      <c r="S102" s="71"/>
      <c r="T102" s="28"/>
      <c r="U102" s="28"/>
      <c r="V102" s="28"/>
      <c r="W102" s="28"/>
      <c r="X102" s="42">
        <f t="shared" si="3"/>
        <v>1</v>
      </c>
      <c r="Y102" s="6">
        <v>1000000</v>
      </c>
    </row>
    <row r="103" spans="1:25" s="4" customFormat="1" ht="28.5" customHeight="1" x14ac:dyDescent="0.25">
      <c r="A103" s="20">
        <v>99</v>
      </c>
      <c r="B103" s="63" t="s">
        <v>210</v>
      </c>
      <c r="C103" s="63" t="s">
        <v>19</v>
      </c>
      <c r="D103" s="3" t="s">
        <v>42</v>
      </c>
      <c r="E103" s="53">
        <v>45974</v>
      </c>
      <c r="F103" s="22"/>
      <c r="G103" s="27"/>
      <c r="H103" s="37"/>
      <c r="I103" s="25"/>
      <c r="J103" s="76"/>
      <c r="K103" s="6"/>
      <c r="L103" s="6"/>
      <c r="M103" s="35"/>
      <c r="N103" s="25"/>
      <c r="O103" s="6"/>
      <c r="P103" s="6">
        <v>1</v>
      </c>
      <c r="Q103" s="6"/>
      <c r="R103" s="13"/>
      <c r="S103" s="71"/>
      <c r="T103" s="28"/>
      <c r="U103" s="28"/>
      <c r="V103" s="28">
        <v>1</v>
      </c>
      <c r="W103" s="28"/>
      <c r="X103" s="42">
        <f t="shared" si="3"/>
        <v>2</v>
      </c>
      <c r="Y103" s="6">
        <v>800000</v>
      </c>
    </row>
    <row r="104" spans="1:25" s="4" customFormat="1" ht="28.5" customHeight="1" x14ac:dyDescent="0.25">
      <c r="A104" s="20">
        <v>100</v>
      </c>
      <c r="B104" s="63" t="s">
        <v>49</v>
      </c>
      <c r="C104" s="63" t="s">
        <v>20</v>
      </c>
      <c r="D104" s="3" t="s">
        <v>41</v>
      </c>
      <c r="E104" s="53">
        <v>45978</v>
      </c>
      <c r="F104" s="22"/>
      <c r="G104" s="27"/>
      <c r="H104" s="37"/>
      <c r="I104" s="25"/>
      <c r="J104" s="76"/>
      <c r="K104" s="6"/>
      <c r="L104" s="6"/>
      <c r="M104" s="35"/>
      <c r="N104" s="25"/>
      <c r="O104" s="6"/>
      <c r="P104" s="6"/>
      <c r="Q104" s="6"/>
      <c r="R104" s="13"/>
      <c r="S104" s="71"/>
      <c r="T104" s="28"/>
      <c r="U104" s="28">
        <v>1</v>
      </c>
      <c r="V104" s="28"/>
      <c r="W104" s="28">
        <v>1</v>
      </c>
      <c r="X104" s="42">
        <f t="shared" si="3"/>
        <v>2</v>
      </c>
      <c r="Y104" s="6">
        <v>2137000</v>
      </c>
    </row>
    <row r="105" spans="1:25" s="4" customFormat="1" ht="28.5" customHeight="1" x14ac:dyDescent="0.25">
      <c r="A105" s="20">
        <v>101</v>
      </c>
      <c r="B105" s="3" t="s">
        <v>211</v>
      </c>
      <c r="C105" s="63" t="s">
        <v>19</v>
      </c>
      <c r="D105" s="3" t="s">
        <v>42</v>
      </c>
      <c r="E105" s="53">
        <v>45978</v>
      </c>
      <c r="F105" s="22"/>
      <c r="G105" s="27"/>
      <c r="H105" s="37"/>
      <c r="I105" s="25"/>
      <c r="J105" s="76"/>
      <c r="K105" s="6"/>
      <c r="L105" s="6"/>
      <c r="M105" s="35"/>
      <c r="N105" s="25"/>
      <c r="O105" s="6"/>
      <c r="P105" s="6">
        <v>1</v>
      </c>
      <c r="Q105" s="6">
        <v>1</v>
      </c>
      <c r="R105" s="13"/>
      <c r="S105" s="105"/>
      <c r="T105" s="39"/>
      <c r="U105" s="28"/>
      <c r="V105" s="28">
        <v>2</v>
      </c>
      <c r="W105" s="28"/>
      <c r="X105" s="42">
        <f t="shared" si="3"/>
        <v>4</v>
      </c>
      <c r="Y105" s="26">
        <v>800000</v>
      </c>
    </row>
    <row r="106" spans="1:25" s="4" customFormat="1" ht="28.5" customHeight="1" x14ac:dyDescent="0.25">
      <c r="A106" s="20">
        <v>102</v>
      </c>
      <c r="B106" s="63" t="s">
        <v>212</v>
      </c>
      <c r="C106" s="63" t="s">
        <v>20</v>
      </c>
      <c r="D106" s="3" t="s">
        <v>41</v>
      </c>
      <c r="E106" s="53">
        <v>45978</v>
      </c>
      <c r="F106" s="22"/>
      <c r="G106" s="27"/>
      <c r="H106" s="37"/>
      <c r="I106" s="25"/>
      <c r="J106" s="76"/>
      <c r="K106" s="6">
        <v>2</v>
      </c>
      <c r="L106" s="6">
        <v>1</v>
      </c>
      <c r="M106" s="35"/>
      <c r="N106" s="25"/>
      <c r="O106" s="6"/>
      <c r="P106" s="6"/>
      <c r="Q106" s="6"/>
      <c r="R106" s="13"/>
      <c r="S106" s="105"/>
      <c r="T106" s="39"/>
      <c r="U106" s="28"/>
      <c r="V106" s="28"/>
      <c r="W106" s="28"/>
      <c r="X106" s="42">
        <f t="shared" si="3"/>
        <v>3</v>
      </c>
      <c r="Y106" s="26">
        <v>600000</v>
      </c>
    </row>
    <row r="107" spans="1:25" s="4" customFormat="1" ht="28.5" customHeight="1" x14ac:dyDescent="0.25">
      <c r="A107" s="20">
        <v>103</v>
      </c>
      <c r="B107" s="63" t="s">
        <v>213</v>
      </c>
      <c r="C107" s="63" t="s">
        <v>20</v>
      </c>
      <c r="D107" s="3" t="s">
        <v>41</v>
      </c>
      <c r="E107" s="53">
        <v>45981</v>
      </c>
      <c r="F107" s="22"/>
      <c r="G107" s="27"/>
      <c r="H107" s="37"/>
      <c r="I107" s="25">
        <v>1</v>
      </c>
      <c r="J107" s="76"/>
      <c r="K107" s="6">
        <v>1</v>
      </c>
      <c r="L107" s="6"/>
      <c r="M107" s="35"/>
      <c r="N107" s="25"/>
      <c r="O107" s="6"/>
      <c r="P107" s="6"/>
      <c r="Q107" s="6"/>
      <c r="R107" s="13"/>
      <c r="S107" s="105"/>
      <c r="T107" s="39"/>
      <c r="U107" s="28"/>
      <c r="V107" s="28">
        <v>2</v>
      </c>
      <c r="W107" s="28"/>
      <c r="X107" s="42">
        <f t="shared" si="3"/>
        <v>4</v>
      </c>
      <c r="Y107" s="26">
        <v>1750000</v>
      </c>
    </row>
    <row r="108" spans="1:25" s="4" customFormat="1" ht="28.5" customHeight="1" x14ac:dyDescent="0.25">
      <c r="A108" s="20">
        <v>104</v>
      </c>
      <c r="B108" s="63" t="s">
        <v>218</v>
      </c>
      <c r="C108" s="63" t="s">
        <v>20</v>
      </c>
      <c r="D108" s="62" t="s">
        <v>41</v>
      </c>
      <c r="E108" s="53">
        <v>45982</v>
      </c>
      <c r="F108" s="22"/>
      <c r="G108" s="27"/>
      <c r="H108" s="37"/>
      <c r="I108" s="25">
        <v>1</v>
      </c>
      <c r="J108" s="76"/>
      <c r="K108" s="6"/>
      <c r="L108" s="6">
        <v>1</v>
      </c>
      <c r="M108" s="35"/>
      <c r="N108" s="25"/>
      <c r="O108" s="6"/>
      <c r="P108" s="6"/>
      <c r="Q108" s="6"/>
      <c r="R108" s="13"/>
      <c r="S108" s="105"/>
      <c r="T108" s="39"/>
      <c r="U108" s="28"/>
      <c r="V108" s="28"/>
      <c r="W108" s="28"/>
      <c r="X108" s="42">
        <f t="shared" si="3"/>
        <v>2</v>
      </c>
      <c r="Y108" s="26">
        <v>600000</v>
      </c>
    </row>
    <row r="109" spans="1:25" s="4" customFormat="1" ht="28.5" customHeight="1" x14ac:dyDescent="0.25">
      <c r="A109" s="20">
        <v>105</v>
      </c>
      <c r="B109" s="63" t="s">
        <v>80</v>
      </c>
      <c r="C109" s="63" t="s">
        <v>20</v>
      </c>
      <c r="D109" s="54" t="s">
        <v>42</v>
      </c>
      <c r="E109" s="53">
        <v>45985</v>
      </c>
      <c r="F109" s="22"/>
      <c r="G109" s="27"/>
      <c r="H109" s="37"/>
      <c r="I109" s="25"/>
      <c r="J109" s="76"/>
      <c r="K109" s="6"/>
      <c r="L109" s="6"/>
      <c r="M109" s="35"/>
      <c r="N109" s="25">
        <v>1</v>
      </c>
      <c r="O109" s="6"/>
      <c r="P109" s="6"/>
      <c r="Q109" s="6"/>
      <c r="R109" s="13"/>
      <c r="S109" s="71"/>
      <c r="T109" s="28"/>
      <c r="U109" s="28"/>
      <c r="V109" s="28"/>
      <c r="W109" s="28"/>
      <c r="X109" s="42">
        <f t="shared" si="3"/>
        <v>1</v>
      </c>
      <c r="Y109" s="89">
        <v>850000</v>
      </c>
    </row>
    <row r="110" spans="1:25" s="4" customFormat="1" ht="28.5" customHeight="1" x14ac:dyDescent="0.25">
      <c r="A110" s="20">
        <v>106</v>
      </c>
      <c r="B110" s="63" t="s">
        <v>219</v>
      </c>
      <c r="C110" s="63" t="s">
        <v>20</v>
      </c>
      <c r="D110" s="54" t="s">
        <v>41</v>
      </c>
      <c r="E110" s="53">
        <v>45986</v>
      </c>
      <c r="F110" s="22"/>
      <c r="G110" s="27"/>
      <c r="H110" s="37"/>
      <c r="I110" s="25"/>
      <c r="J110" s="76">
        <v>1</v>
      </c>
      <c r="K110" s="6"/>
      <c r="L110" s="6"/>
      <c r="M110" s="35"/>
      <c r="N110" s="25"/>
      <c r="O110" s="6"/>
      <c r="P110" s="6"/>
      <c r="Q110" s="6">
        <v>1</v>
      </c>
      <c r="R110" s="13"/>
      <c r="S110" s="71"/>
      <c r="T110" s="28"/>
      <c r="U110" s="28"/>
      <c r="V110" s="28"/>
      <c r="W110" s="28"/>
      <c r="X110" s="42">
        <f t="shared" si="3"/>
        <v>2</v>
      </c>
      <c r="Y110" s="89">
        <v>850000</v>
      </c>
    </row>
    <row r="111" spans="1:25" s="4" customFormat="1" ht="28.5" customHeight="1" x14ac:dyDescent="0.25">
      <c r="A111" s="20">
        <v>107</v>
      </c>
      <c r="B111" s="63" t="s">
        <v>228</v>
      </c>
      <c r="C111" s="63" t="s">
        <v>19</v>
      </c>
      <c r="D111" s="3" t="s">
        <v>47</v>
      </c>
      <c r="E111" s="53">
        <v>45986</v>
      </c>
      <c r="F111" s="22"/>
      <c r="G111" s="27">
        <v>1</v>
      </c>
      <c r="H111" s="37"/>
      <c r="I111" s="25">
        <v>6</v>
      </c>
      <c r="J111" s="76">
        <v>2</v>
      </c>
      <c r="K111" s="6">
        <v>3</v>
      </c>
      <c r="L111" s="6">
        <v>5</v>
      </c>
      <c r="M111" s="35">
        <v>4</v>
      </c>
      <c r="N111" s="25"/>
      <c r="O111" s="6">
        <v>1</v>
      </c>
      <c r="P111" s="6">
        <v>2</v>
      </c>
      <c r="Q111" s="6">
        <v>2</v>
      </c>
      <c r="R111" s="13"/>
      <c r="S111" s="71">
        <v>1</v>
      </c>
      <c r="T111" s="28"/>
      <c r="U111" s="28"/>
      <c r="V111" s="28">
        <v>1</v>
      </c>
      <c r="W111" s="28"/>
      <c r="X111" s="42">
        <f t="shared" si="3"/>
        <v>28</v>
      </c>
      <c r="Y111" s="89">
        <v>405233</v>
      </c>
    </row>
    <row r="112" spans="1:25" s="4" customFormat="1" ht="28.5" customHeight="1" x14ac:dyDescent="0.25">
      <c r="A112" s="20">
        <v>108</v>
      </c>
      <c r="B112" s="63" t="s">
        <v>220</v>
      </c>
      <c r="C112" s="63" t="s">
        <v>20</v>
      </c>
      <c r="D112" s="3" t="s">
        <v>43</v>
      </c>
      <c r="E112" s="53">
        <v>45988</v>
      </c>
      <c r="F112" s="22">
        <v>2</v>
      </c>
      <c r="G112" s="27"/>
      <c r="H112" s="37"/>
      <c r="I112" s="25"/>
      <c r="J112" s="76"/>
      <c r="K112" s="6"/>
      <c r="L112" s="6"/>
      <c r="M112" s="35"/>
      <c r="N112" s="25"/>
      <c r="O112" s="6"/>
      <c r="P112" s="6">
        <v>1</v>
      </c>
      <c r="Q112" s="6"/>
      <c r="R112" s="13"/>
      <c r="S112" s="71"/>
      <c r="T112" s="28"/>
      <c r="U112" s="28"/>
      <c r="V112" s="28"/>
      <c r="W112" s="28"/>
      <c r="X112" s="42">
        <f t="shared" ref="X112:X116" si="6">SUM(F112:W112)</f>
        <v>3</v>
      </c>
      <c r="Y112" s="89">
        <v>600000</v>
      </c>
    </row>
    <row r="113" spans="1:25" s="4" customFormat="1" ht="28.5" customHeight="1" x14ac:dyDescent="0.25">
      <c r="A113" s="20">
        <v>109</v>
      </c>
      <c r="B113" s="63" t="s">
        <v>221</v>
      </c>
      <c r="C113" s="63" t="s">
        <v>20</v>
      </c>
      <c r="D113" s="3" t="s">
        <v>43</v>
      </c>
      <c r="E113" s="53">
        <v>45991</v>
      </c>
      <c r="F113" s="22"/>
      <c r="G113" s="27"/>
      <c r="H113" s="37"/>
      <c r="I113" s="25"/>
      <c r="J113" s="76"/>
      <c r="K113" s="6"/>
      <c r="L113" s="6"/>
      <c r="M113" s="35">
        <v>2</v>
      </c>
      <c r="N113" s="25"/>
      <c r="O113" s="6"/>
      <c r="P113" s="6"/>
      <c r="Q113" s="6"/>
      <c r="R113" s="13"/>
      <c r="S113" s="71"/>
      <c r="T113" s="28"/>
      <c r="U113" s="28"/>
      <c r="V113" s="28"/>
      <c r="W113" s="28"/>
      <c r="X113" s="42">
        <f t="shared" si="6"/>
        <v>2</v>
      </c>
      <c r="Y113" s="89">
        <v>900000</v>
      </c>
    </row>
    <row r="114" spans="1:25" s="4" customFormat="1" ht="28.5" customHeight="1" x14ac:dyDescent="0.25">
      <c r="A114" s="20">
        <v>110</v>
      </c>
      <c r="B114" s="63" t="s">
        <v>222</v>
      </c>
      <c r="C114" s="63" t="s">
        <v>20</v>
      </c>
      <c r="D114" s="3" t="s">
        <v>72</v>
      </c>
      <c r="E114" s="53">
        <v>45993</v>
      </c>
      <c r="F114" s="22"/>
      <c r="G114" s="27"/>
      <c r="H114" s="37"/>
      <c r="I114" s="25"/>
      <c r="J114" s="76">
        <v>1</v>
      </c>
      <c r="K114" s="6"/>
      <c r="L114" s="6"/>
      <c r="M114" s="35"/>
      <c r="N114" s="25"/>
      <c r="O114" s="6"/>
      <c r="P114" s="6"/>
      <c r="Q114" s="6"/>
      <c r="R114" s="13"/>
      <c r="S114" s="71"/>
      <c r="T114" s="28"/>
      <c r="U114" s="28"/>
      <c r="V114" s="28"/>
      <c r="W114" s="28"/>
      <c r="X114" s="42">
        <f t="shared" si="6"/>
        <v>1</v>
      </c>
      <c r="Y114" s="89">
        <v>1100000</v>
      </c>
    </row>
    <row r="115" spans="1:25" s="4" customFormat="1" ht="28.5" customHeight="1" x14ac:dyDescent="0.25">
      <c r="A115" s="20">
        <v>111</v>
      </c>
      <c r="B115" s="63" t="s">
        <v>223</v>
      </c>
      <c r="C115" s="63" t="s">
        <v>19</v>
      </c>
      <c r="D115" s="3" t="s">
        <v>47</v>
      </c>
      <c r="E115" s="53">
        <v>45993</v>
      </c>
      <c r="F115" s="22"/>
      <c r="G115" s="27"/>
      <c r="H115" s="37"/>
      <c r="I115" s="25">
        <v>16</v>
      </c>
      <c r="J115" s="76">
        <v>6</v>
      </c>
      <c r="K115" s="6">
        <v>13</v>
      </c>
      <c r="L115" s="6">
        <v>6</v>
      </c>
      <c r="M115" s="35">
        <v>7</v>
      </c>
      <c r="N115" s="25"/>
      <c r="O115" s="6"/>
      <c r="P115" s="6"/>
      <c r="Q115" s="6"/>
      <c r="R115" s="13">
        <v>4</v>
      </c>
      <c r="S115" s="71"/>
      <c r="T115" s="28"/>
      <c r="U115" s="28"/>
      <c r="V115" s="28">
        <v>1</v>
      </c>
      <c r="W115" s="28">
        <v>1</v>
      </c>
      <c r="X115" s="42">
        <f t="shared" si="6"/>
        <v>54</v>
      </c>
      <c r="Y115" s="87">
        <v>651340</v>
      </c>
    </row>
    <row r="116" spans="1:25" s="4" customFormat="1" ht="28.5" customHeight="1" x14ac:dyDescent="0.25">
      <c r="A116" s="20">
        <v>112</v>
      </c>
      <c r="B116" s="63" t="s">
        <v>227</v>
      </c>
      <c r="C116" s="63" t="s">
        <v>19</v>
      </c>
      <c r="D116" s="3" t="s">
        <v>47</v>
      </c>
      <c r="E116" s="53">
        <v>45993</v>
      </c>
      <c r="F116" s="22"/>
      <c r="G116" s="27"/>
      <c r="H116" s="37"/>
      <c r="I116" s="25">
        <v>8</v>
      </c>
      <c r="J116" s="76">
        <v>4</v>
      </c>
      <c r="K116" s="6">
        <v>5</v>
      </c>
      <c r="L116" s="6">
        <v>4</v>
      </c>
      <c r="M116" s="35">
        <v>6</v>
      </c>
      <c r="N116" s="25"/>
      <c r="O116" s="6">
        <v>7</v>
      </c>
      <c r="P116" s="6">
        <v>1</v>
      </c>
      <c r="Q116" s="6">
        <v>3</v>
      </c>
      <c r="R116" s="13">
        <v>2</v>
      </c>
      <c r="S116" s="71">
        <v>2</v>
      </c>
      <c r="T116" s="28"/>
      <c r="U116" s="28"/>
      <c r="V116" s="28"/>
      <c r="W116" s="28">
        <v>2</v>
      </c>
      <c r="X116" s="42">
        <f t="shared" si="6"/>
        <v>44</v>
      </c>
      <c r="Y116" s="87">
        <v>444900</v>
      </c>
    </row>
    <row r="117" spans="1:25" s="4" customFormat="1" ht="28.5" customHeight="1" x14ac:dyDescent="0.25">
      <c r="A117" s="20">
        <v>113</v>
      </c>
      <c r="B117" s="63" t="s">
        <v>229</v>
      </c>
      <c r="C117" s="63" t="s">
        <v>20</v>
      </c>
      <c r="D117" s="3" t="s">
        <v>41</v>
      </c>
      <c r="E117" s="53">
        <v>45994</v>
      </c>
      <c r="F117" s="22"/>
      <c r="G117" s="27"/>
      <c r="H117" s="37"/>
      <c r="I117" s="25"/>
      <c r="J117" s="76"/>
      <c r="K117" s="6">
        <v>2</v>
      </c>
      <c r="L117" s="6">
        <v>1</v>
      </c>
      <c r="M117" s="35"/>
      <c r="N117" s="25"/>
      <c r="O117" s="6">
        <v>1</v>
      </c>
      <c r="P117" s="6"/>
      <c r="Q117" s="6"/>
      <c r="R117" s="13">
        <v>1</v>
      </c>
      <c r="S117" s="71"/>
      <c r="T117" s="28"/>
      <c r="U117" s="28"/>
      <c r="V117" s="28"/>
      <c r="W117" s="28"/>
      <c r="X117" s="42">
        <f t="shared" si="3"/>
        <v>5</v>
      </c>
      <c r="Y117" s="87">
        <v>950000</v>
      </c>
    </row>
    <row r="118" spans="1:25" s="4" customFormat="1" ht="28.5" customHeight="1" x14ac:dyDescent="0.25">
      <c r="A118" s="20">
        <v>114</v>
      </c>
      <c r="B118" s="63" t="s">
        <v>230</v>
      </c>
      <c r="C118" s="63" t="s">
        <v>19</v>
      </c>
      <c r="D118" s="3" t="s">
        <v>42</v>
      </c>
      <c r="E118" s="53">
        <v>45996</v>
      </c>
      <c r="F118" s="22">
        <v>3</v>
      </c>
      <c r="G118" s="27"/>
      <c r="H118" s="37"/>
      <c r="I118" s="25"/>
      <c r="J118" s="76"/>
      <c r="K118" s="6"/>
      <c r="L118" s="6"/>
      <c r="M118" s="35"/>
      <c r="N118" s="25"/>
      <c r="O118" s="6"/>
      <c r="P118" s="6"/>
      <c r="Q118" s="6"/>
      <c r="R118" s="13"/>
      <c r="S118" s="71"/>
      <c r="T118" s="28"/>
      <c r="U118" s="28"/>
      <c r="V118" s="28"/>
      <c r="W118" s="28"/>
      <c r="X118" s="42">
        <f t="shared" si="3"/>
        <v>3</v>
      </c>
      <c r="Y118" s="87">
        <v>525000</v>
      </c>
    </row>
    <row r="119" spans="1:25" s="4" customFormat="1" ht="28.5" customHeight="1" x14ac:dyDescent="0.25">
      <c r="A119" s="20">
        <v>115</v>
      </c>
      <c r="B119" s="63" t="s">
        <v>235</v>
      </c>
      <c r="C119" s="63" t="s">
        <v>19</v>
      </c>
      <c r="D119" s="3" t="s">
        <v>42</v>
      </c>
      <c r="E119" s="53">
        <v>45997</v>
      </c>
      <c r="F119" s="22">
        <v>3</v>
      </c>
      <c r="G119" s="27"/>
      <c r="H119" s="37"/>
      <c r="I119" s="25"/>
      <c r="J119" s="76"/>
      <c r="K119" s="6"/>
      <c r="L119" s="6"/>
      <c r="M119" s="35"/>
      <c r="N119" s="25"/>
      <c r="O119" s="6"/>
      <c r="P119" s="6"/>
      <c r="Q119" s="6"/>
      <c r="R119" s="13"/>
      <c r="S119" s="104"/>
      <c r="T119" s="28"/>
      <c r="U119" s="28"/>
      <c r="V119" s="28"/>
      <c r="W119" s="28"/>
      <c r="X119" s="42">
        <f t="shared" si="3"/>
        <v>3</v>
      </c>
      <c r="Y119" s="22">
        <v>703000</v>
      </c>
    </row>
    <row r="120" spans="1:25" s="4" customFormat="1" ht="28.5" customHeight="1" x14ac:dyDescent="0.25">
      <c r="A120" s="20">
        <v>116</v>
      </c>
      <c r="B120" s="63" t="s">
        <v>236</v>
      </c>
      <c r="C120" s="63" t="s">
        <v>19</v>
      </c>
      <c r="D120" s="3" t="s">
        <v>42</v>
      </c>
      <c r="E120" s="130">
        <v>46001</v>
      </c>
      <c r="F120" s="22"/>
      <c r="G120" s="27"/>
      <c r="H120" s="37"/>
      <c r="I120" s="25"/>
      <c r="J120" s="76"/>
      <c r="K120" s="6"/>
      <c r="L120" s="6"/>
      <c r="M120" s="35"/>
      <c r="N120" s="25"/>
      <c r="O120" s="6"/>
      <c r="P120" s="6">
        <v>1</v>
      </c>
      <c r="Q120" s="6">
        <v>1</v>
      </c>
      <c r="R120" s="13"/>
      <c r="S120" s="104"/>
      <c r="T120" s="28"/>
      <c r="U120" s="28"/>
      <c r="V120" s="28"/>
      <c r="W120" s="28">
        <v>1</v>
      </c>
      <c r="X120" s="42">
        <f t="shared" si="3"/>
        <v>3</v>
      </c>
      <c r="Y120" s="6">
        <v>1200000</v>
      </c>
    </row>
    <row r="121" spans="1:25" s="4" customFormat="1" ht="28.5" customHeight="1" x14ac:dyDescent="0.25">
      <c r="A121" s="20">
        <v>117</v>
      </c>
      <c r="B121" s="63" t="s">
        <v>237</v>
      </c>
      <c r="C121" s="63" t="s">
        <v>19</v>
      </c>
      <c r="D121" s="3" t="s">
        <v>42</v>
      </c>
      <c r="E121" s="130">
        <v>46002</v>
      </c>
      <c r="F121" s="22"/>
      <c r="G121" s="27"/>
      <c r="H121" s="37"/>
      <c r="I121" s="25"/>
      <c r="J121" s="76"/>
      <c r="K121" s="6"/>
      <c r="L121" s="6"/>
      <c r="M121" s="35"/>
      <c r="N121" s="25"/>
      <c r="O121" s="6"/>
      <c r="P121" s="6"/>
      <c r="Q121" s="6"/>
      <c r="R121" s="13"/>
      <c r="S121" s="104">
        <v>1</v>
      </c>
      <c r="T121" s="28"/>
      <c r="U121" s="28"/>
      <c r="V121" s="28"/>
      <c r="W121" s="28"/>
      <c r="X121" s="42">
        <f t="shared" si="3"/>
        <v>1</v>
      </c>
      <c r="Y121" s="6">
        <v>650000</v>
      </c>
    </row>
    <row r="122" spans="1:25" s="4" customFormat="1" ht="28.5" customHeight="1" x14ac:dyDescent="0.25">
      <c r="A122" s="20">
        <v>118</v>
      </c>
      <c r="B122" s="63" t="s">
        <v>238</v>
      </c>
      <c r="C122" s="63" t="s">
        <v>20</v>
      </c>
      <c r="D122" s="3" t="s">
        <v>41</v>
      </c>
      <c r="E122" s="130">
        <v>46004</v>
      </c>
      <c r="F122" s="22"/>
      <c r="G122" s="27"/>
      <c r="H122" s="37"/>
      <c r="I122" s="25"/>
      <c r="J122" s="76"/>
      <c r="K122" s="6">
        <v>1</v>
      </c>
      <c r="L122" s="6"/>
      <c r="M122" s="35"/>
      <c r="N122" s="25"/>
      <c r="O122" s="6"/>
      <c r="P122" s="6"/>
      <c r="Q122" s="6"/>
      <c r="R122" s="13"/>
      <c r="S122" s="104"/>
      <c r="T122" s="28"/>
      <c r="U122" s="28"/>
      <c r="V122" s="28"/>
      <c r="W122" s="28"/>
      <c r="X122" s="42">
        <f t="shared" si="3"/>
        <v>1</v>
      </c>
      <c r="Y122" s="6">
        <v>715000</v>
      </c>
    </row>
    <row r="123" spans="1:25" ht="27.65" customHeight="1" thickBot="1" x14ac:dyDescent="0.3">
      <c r="A123" s="6"/>
      <c r="B123" s="3"/>
      <c r="C123" s="3"/>
      <c r="D123" s="3"/>
      <c r="E123" s="67"/>
      <c r="F123" s="26"/>
      <c r="G123" s="27"/>
      <c r="H123" s="37"/>
      <c r="I123" s="27"/>
      <c r="J123" s="71"/>
      <c r="K123" s="28"/>
      <c r="L123" s="28"/>
      <c r="M123" s="37"/>
      <c r="N123" s="27"/>
      <c r="O123" s="28"/>
      <c r="P123" s="28"/>
      <c r="Q123" s="28"/>
      <c r="R123" s="14"/>
      <c r="S123" s="71"/>
      <c r="T123" s="28"/>
      <c r="U123" s="28"/>
      <c r="V123" s="28"/>
      <c r="W123" s="28"/>
      <c r="X123" s="43"/>
      <c r="Y123" s="89"/>
    </row>
    <row r="124" spans="1:25" ht="28.5" customHeight="1" thickBot="1" x14ac:dyDescent="0.3">
      <c r="A124" s="6"/>
      <c r="B124" s="79" t="s">
        <v>34</v>
      </c>
      <c r="C124" s="79"/>
      <c r="D124" s="79"/>
      <c r="E124" s="80"/>
      <c r="F124" s="45">
        <f t="shared" ref="F124:X124" si="7">SUM(F5:F123)</f>
        <v>8</v>
      </c>
      <c r="G124" s="72">
        <f t="shared" si="7"/>
        <v>3</v>
      </c>
      <c r="H124" s="152">
        <f t="shared" si="7"/>
        <v>3</v>
      </c>
      <c r="I124" s="72">
        <f t="shared" si="7"/>
        <v>119</v>
      </c>
      <c r="J124" s="72">
        <f t="shared" si="7"/>
        <v>91</v>
      </c>
      <c r="K124" s="47">
        <f t="shared" si="7"/>
        <v>107</v>
      </c>
      <c r="L124" s="47">
        <f t="shared" si="7"/>
        <v>126</v>
      </c>
      <c r="M124" s="112">
        <f t="shared" si="7"/>
        <v>71</v>
      </c>
      <c r="N124" s="12">
        <f t="shared" si="7"/>
        <v>2</v>
      </c>
      <c r="O124" s="34">
        <f t="shared" si="7"/>
        <v>59</v>
      </c>
      <c r="P124" s="34">
        <f t="shared" si="7"/>
        <v>27</v>
      </c>
      <c r="Q124" s="34">
        <f t="shared" si="7"/>
        <v>30</v>
      </c>
      <c r="R124" s="16">
        <f t="shared" si="7"/>
        <v>26</v>
      </c>
      <c r="S124" s="72">
        <f t="shared" si="7"/>
        <v>14</v>
      </c>
      <c r="T124" s="72">
        <f t="shared" si="7"/>
        <v>4</v>
      </c>
      <c r="U124" s="72">
        <f t="shared" si="7"/>
        <v>3</v>
      </c>
      <c r="V124" s="72">
        <f t="shared" si="7"/>
        <v>38</v>
      </c>
      <c r="W124" s="45">
        <f t="shared" si="7"/>
        <v>41</v>
      </c>
      <c r="X124" s="153">
        <f t="shared" si="7"/>
        <v>772</v>
      </c>
      <c r="Y124" s="29">
        <f>MEDIAN(Y8:Y123)</f>
        <v>1100000</v>
      </c>
    </row>
    <row r="125" spans="1:25" ht="28.5" customHeight="1" thickBot="1" x14ac:dyDescent="0.3">
      <c r="B125" s="79" t="s">
        <v>35</v>
      </c>
      <c r="C125" s="79"/>
      <c r="D125" s="79"/>
      <c r="E125" s="80"/>
      <c r="F125" s="5">
        <v>8</v>
      </c>
      <c r="G125" s="12">
        <v>2</v>
      </c>
      <c r="H125" s="16">
        <v>3</v>
      </c>
      <c r="I125" s="12">
        <v>100</v>
      </c>
      <c r="J125" s="34">
        <v>81</v>
      </c>
      <c r="K125" s="34">
        <v>97</v>
      </c>
      <c r="L125" s="34">
        <v>114</v>
      </c>
      <c r="M125" s="16">
        <v>57</v>
      </c>
      <c r="N125" s="12">
        <v>2</v>
      </c>
      <c r="O125" s="34">
        <v>54</v>
      </c>
      <c r="P125" s="34">
        <v>25</v>
      </c>
      <c r="Q125" s="34">
        <v>30</v>
      </c>
      <c r="R125" s="16">
        <v>24</v>
      </c>
      <c r="S125" s="12">
        <v>13</v>
      </c>
      <c r="T125" s="34">
        <v>4</v>
      </c>
      <c r="U125" s="34">
        <v>3</v>
      </c>
      <c r="V125" s="34">
        <v>37</v>
      </c>
      <c r="W125" s="16">
        <v>40</v>
      </c>
      <c r="X125" s="108">
        <v>694</v>
      </c>
      <c r="Y125" s="156"/>
    </row>
    <row r="126" spans="1:25" ht="28.5" customHeight="1" x14ac:dyDescent="0.25">
      <c r="B126" s="155"/>
      <c r="C126" s="155"/>
      <c r="D126" s="155"/>
      <c r="E126" s="155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6"/>
    </row>
  </sheetData>
  <mergeCells count="6">
    <mergeCell ref="I2:M2"/>
    <mergeCell ref="A1:Y1"/>
    <mergeCell ref="G2:H2"/>
    <mergeCell ref="S2:W2"/>
    <mergeCell ref="A2:E2"/>
    <mergeCell ref="N2:R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2"/>
  <sheetViews>
    <sheetView showGridLines="0" topLeftCell="A147" zoomScaleNormal="100" workbookViewId="0">
      <selection activeCell="M155" sqref="M155"/>
    </sheetView>
  </sheetViews>
  <sheetFormatPr defaultColWidth="9.08984375" defaultRowHeight="27.65" customHeight="1" x14ac:dyDescent="0.25"/>
  <cols>
    <col min="1" max="1" width="7" style="7" bestFit="1" customWidth="1"/>
    <col min="2" max="2" width="31.36328125" style="7" bestFit="1" customWidth="1"/>
    <col min="3" max="3" width="10.08984375" style="7" customWidth="1"/>
    <col min="4" max="4" width="6.453125" style="7" customWidth="1"/>
    <col min="5" max="5" width="11.1796875" style="15" customWidth="1"/>
    <col min="6" max="6" width="14.36328125" style="15" customWidth="1"/>
    <col min="7" max="24" width="6.54296875" style="4" customWidth="1"/>
    <col min="25" max="25" width="7.6328125" style="7" customWidth="1"/>
    <col min="26" max="26" width="11.54296875" style="7" customWidth="1"/>
    <col min="27" max="16384" width="9.08984375" style="7"/>
  </cols>
  <sheetData>
    <row r="1" spans="1:26" s="4" customFormat="1" ht="27.65" customHeight="1" thickBot="1" x14ac:dyDescent="0.3">
      <c r="A1" s="169" t="s">
        <v>54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</row>
    <row r="2" spans="1:26" s="4" customFormat="1" ht="27.65" customHeight="1" thickBot="1" x14ac:dyDescent="0.3">
      <c r="A2" s="177" t="s">
        <v>30</v>
      </c>
      <c r="B2" s="178"/>
      <c r="C2" s="178"/>
      <c r="D2" s="178"/>
      <c r="E2" s="178"/>
      <c r="F2" s="178"/>
      <c r="G2" s="18" t="s">
        <v>25</v>
      </c>
      <c r="H2" s="179" t="s">
        <v>26</v>
      </c>
      <c r="I2" s="180"/>
      <c r="J2" s="179" t="s">
        <v>27</v>
      </c>
      <c r="K2" s="181"/>
      <c r="L2" s="182"/>
      <c r="M2" s="183"/>
      <c r="N2" s="180"/>
      <c r="O2" s="184" t="s">
        <v>28</v>
      </c>
      <c r="P2" s="185"/>
      <c r="Q2" s="185"/>
      <c r="R2" s="185"/>
      <c r="S2" s="186"/>
      <c r="T2" s="181" t="s">
        <v>29</v>
      </c>
      <c r="U2" s="182"/>
      <c r="V2" s="182"/>
      <c r="W2" s="182"/>
      <c r="X2" s="182"/>
      <c r="Y2" s="19"/>
      <c r="Z2" s="11"/>
    </row>
    <row r="3" spans="1:26" s="4" customFormat="1" ht="27.65" customHeight="1" thickBot="1" x14ac:dyDescent="0.3">
      <c r="A3" s="55" t="s">
        <v>14</v>
      </c>
      <c r="B3" s="47" t="s">
        <v>12</v>
      </c>
      <c r="C3" s="47" t="s">
        <v>39</v>
      </c>
      <c r="D3" s="47" t="s">
        <v>24</v>
      </c>
      <c r="E3" s="93" t="s">
        <v>23</v>
      </c>
      <c r="F3" s="142" t="s">
        <v>11</v>
      </c>
      <c r="G3" s="45" t="s">
        <v>15</v>
      </c>
      <c r="H3" s="72" t="s">
        <v>10</v>
      </c>
      <c r="I3" s="46" t="s">
        <v>8</v>
      </c>
      <c r="J3" s="72" t="s">
        <v>1</v>
      </c>
      <c r="K3" s="132" t="s">
        <v>40</v>
      </c>
      <c r="L3" s="47" t="s">
        <v>22</v>
      </c>
      <c r="M3" s="112" t="s">
        <v>2</v>
      </c>
      <c r="N3" s="46" t="s">
        <v>37</v>
      </c>
      <c r="O3" s="72" t="s">
        <v>9</v>
      </c>
      <c r="P3" s="47" t="s">
        <v>3</v>
      </c>
      <c r="Q3" s="56" t="s">
        <v>4</v>
      </c>
      <c r="R3" s="112" t="s">
        <v>5</v>
      </c>
      <c r="S3" s="5" t="s">
        <v>63</v>
      </c>
      <c r="T3" s="139" t="s">
        <v>16</v>
      </c>
      <c r="U3" s="44" t="s">
        <v>17</v>
      </c>
      <c r="V3" s="47" t="s">
        <v>7</v>
      </c>
      <c r="W3" s="47" t="s">
        <v>6</v>
      </c>
      <c r="X3" s="47" t="s">
        <v>13</v>
      </c>
      <c r="Y3" s="18" t="s">
        <v>0</v>
      </c>
      <c r="Z3" s="18" t="s">
        <v>31</v>
      </c>
    </row>
    <row r="4" spans="1:26" s="4" customFormat="1" ht="27.65" customHeight="1" thickBot="1" x14ac:dyDescent="0.3">
      <c r="A4" s="57"/>
      <c r="B4" s="34"/>
      <c r="C4" s="34"/>
      <c r="D4" s="34"/>
      <c r="E4" s="135"/>
      <c r="F4" s="143"/>
      <c r="G4" s="5">
        <f>'Full Stats'!F4</f>
        <v>24</v>
      </c>
      <c r="H4" s="12">
        <f>'Full Stats'!G4</f>
        <v>53</v>
      </c>
      <c r="I4" s="16">
        <f>'Full Stats'!H4</f>
        <v>38</v>
      </c>
      <c r="J4" s="12">
        <f>'Full Stats'!I4</f>
        <v>183</v>
      </c>
      <c r="K4" s="115">
        <f>'Full Stats'!J4</f>
        <v>123</v>
      </c>
      <c r="L4" s="34">
        <f>'Full Stats'!K4</f>
        <v>159</v>
      </c>
      <c r="M4" s="116">
        <f>'Full Stats'!L4</f>
        <v>168</v>
      </c>
      <c r="N4" s="16">
        <f>'Full Stats'!M4</f>
        <v>109</v>
      </c>
      <c r="O4" s="12">
        <f>'Full Stats'!N4</f>
        <v>47</v>
      </c>
      <c r="P4" s="34">
        <f>'Full Stats'!O4</f>
        <v>154</v>
      </c>
      <c r="Q4" s="58">
        <f>'Full Stats'!P4</f>
        <v>78</v>
      </c>
      <c r="R4" s="116">
        <f>'Full Stats'!Q4</f>
        <v>57</v>
      </c>
      <c r="S4" s="141"/>
      <c r="T4" s="140">
        <f>'Full Stats'!S4</f>
        <v>50</v>
      </c>
      <c r="U4" s="10">
        <f>'Full Stats'!T4</f>
        <v>20</v>
      </c>
      <c r="V4" s="34">
        <f>'Full Stats'!U4</f>
        <v>19</v>
      </c>
      <c r="W4" s="34">
        <f>'Full Stats'!V4</f>
        <v>120</v>
      </c>
      <c r="X4" s="34">
        <f>'Full Stats'!W4</f>
        <v>105</v>
      </c>
      <c r="Y4" s="18">
        <f t="shared" ref="Y4:Y70" si="0">SUM(G4:X4)</f>
        <v>1507</v>
      </c>
      <c r="Z4" s="29"/>
    </row>
    <row r="5" spans="1:26" s="4" customFormat="1" ht="27.65" customHeight="1" x14ac:dyDescent="0.25">
      <c r="A5" s="119">
        <v>1</v>
      </c>
      <c r="B5" s="114" t="s">
        <v>50</v>
      </c>
      <c r="C5" s="114" t="s">
        <v>57</v>
      </c>
      <c r="D5" s="114" t="s">
        <v>21</v>
      </c>
      <c r="E5" s="138" t="s">
        <v>42</v>
      </c>
      <c r="F5" s="123">
        <v>45686</v>
      </c>
      <c r="G5" s="113"/>
      <c r="H5" s="120"/>
      <c r="I5" s="49"/>
      <c r="J5" s="120"/>
      <c r="K5" s="136"/>
      <c r="L5" s="48"/>
      <c r="M5" s="88"/>
      <c r="N5" s="24"/>
      <c r="O5" s="23"/>
      <c r="P5" s="20">
        <v>10</v>
      </c>
      <c r="Q5" s="95"/>
      <c r="R5" s="88"/>
      <c r="S5" s="24"/>
      <c r="T5" s="121"/>
      <c r="U5" s="122"/>
      <c r="V5" s="48"/>
      <c r="W5" s="48"/>
      <c r="X5" s="48"/>
      <c r="Y5" s="22">
        <f t="shared" si="0"/>
        <v>10</v>
      </c>
      <c r="Z5" s="147">
        <v>45000</v>
      </c>
    </row>
    <row r="6" spans="1:26" s="4" customFormat="1" ht="27.65" customHeight="1" x14ac:dyDescent="0.25">
      <c r="A6" s="125">
        <v>2</v>
      </c>
      <c r="B6" s="17" t="s">
        <v>48</v>
      </c>
      <c r="C6" s="63" t="s">
        <v>57</v>
      </c>
      <c r="D6" s="17" t="s">
        <v>21</v>
      </c>
      <c r="E6" s="145" t="s">
        <v>42</v>
      </c>
      <c r="F6" s="65">
        <v>45687</v>
      </c>
      <c r="G6" s="21"/>
      <c r="H6" s="23"/>
      <c r="I6" s="24"/>
      <c r="J6" s="23">
        <v>1</v>
      </c>
      <c r="K6" s="86"/>
      <c r="L6" s="20"/>
      <c r="M6" s="88">
        <v>1</v>
      </c>
      <c r="N6" s="24"/>
      <c r="O6" s="23"/>
      <c r="P6" s="20"/>
      <c r="Q6" s="95"/>
      <c r="R6" s="88"/>
      <c r="S6" s="13"/>
      <c r="T6" s="126"/>
      <c r="U6" s="127"/>
      <c r="V6" s="20"/>
      <c r="W6" s="20"/>
      <c r="X6" s="20"/>
      <c r="Y6" s="22">
        <f t="shared" si="0"/>
        <v>2</v>
      </c>
      <c r="Z6" s="148">
        <v>45000</v>
      </c>
    </row>
    <row r="7" spans="1:26" ht="27.65" customHeight="1" x14ac:dyDescent="0.25">
      <c r="A7" s="17">
        <v>3</v>
      </c>
      <c r="B7" s="118" t="s">
        <v>51</v>
      </c>
      <c r="C7" s="17" t="s">
        <v>58</v>
      </c>
      <c r="D7" s="17" t="s">
        <v>21</v>
      </c>
      <c r="E7" s="145" t="s">
        <v>42</v>
      </c>
      <c r="F7" s="65">
        <v>45692</v>
      </c>
      <c r="G7" s="21"/>
      <c r="H7" s="23"/>
      <c r="I7" s="24"/>
      <c r="J7" s="23">
        <v>1</v>
      </c>
      <c r="K7" s="86"/>
      <c r="L7" s="20"/>
      <c r="M7" s="88"/>
      <c r="N7" s="24"/>
      <c r="O7" s="23"/>
      <c r="P7" s="20">
        <v>1</v>
      </c>
      <c r="Q7" s="95">
        <v>1</v>
      </c>
      <c r="R7" s="88"/>
      <c r="S7" s="13"/>
      <c r="T7" s="86"/>
      <c r="U7" s="20"/>
      <c r="V7" s="20"/>
      <c r="W7" s="20"/>
      <c r="X7" s="20"/>
      <c r="Y7" s="22">
        <f t="shared" si="0"/>
        <v>3</v>
      </c>
      <c r="Z7" s="148">
        <v>39000</v>
      </c>
    </row>
    <row r="8" spans="1:26" ht="27.65" customHeight="1" x14ac:dyDescent="0.25">
      <c r="A8" s="125">
        <v>4</v>
      </c>
      <c r="B8" s="51" t="s">
        <v>56</v>
      </c>
      <c r="C8" s="51" t="s">
        <v>57</v>
      </c>
      <c r="D8" s="51" t="s">
        <v>21</v>
      </c>
      <c r="E8" s="3" t="s">
        <v>42</v>
      </c>
      <c r="F8" s="67">
        <v>45715</v>
      </c>
      <c r="G8" s="22"/>
      <c r="H8" s="23"/>
      <c r="I8" s="24"/>
      <c r="J8" s="25"/>
      <c r="K8" s="76"/>
      <c r="L8" s="6"/>
      <c r="M8" s="6"/>
      <c r="N8" s="13">
        <v>5</v>
      </c>
      <c r="O8" s="23"/>
      <c r="P8" s="20">
        <v>1</v>
      </c>
      <c r="Q8" s="20"/>
      <c r="R8" s="88"/>
      <c r="S8" s="13"/>
      <c r="T8" s="86"/>
      <c r="U8" s="20"/>
      <c r="V8" s="20"/>
      <c r="W8" s="20"/>
      <c r="X8" s="20"/>
      <c r="Y8" s="22">
        <f t="shared" si="0"/>
        <v>6</v>
      </c>
      <c r="Z8" s="149">
        <v>30000</v>
      </c>
    </row>
    <row r="9" spans="1:26" ht="27.65" customHeight="1" x14ac:dyDescent="0.25">
      <c r="A9" s="17">
        <v>5</v>
      </c>
      <c r="B9" s="51" t="s">
        <v>92</v>
      </c>
      <c r="C9" s="51" t="s">
        <v>58</v>
      </c>
      <c r="D9" s="51" t="s">
        <v>21</v>
      </c>
      <c r="E9" s="3" t="s">
        <v>41</v>
      </c>
      <c r="F9" s="67">
        <v>45748</v>
      </c>
      <c r="G9" s="22"/>
      <c r="H9" s="23"/>
      <c r="I9" s="24"/>
      <c r="J9" s="25"/>
      <c r="K9" s="76"/>
      <c r="L9" s="6"/>
      <c r="M9" s="6"/>
      <c r="N9" s="13"/>
      <c r="O9" s="23"/>
      <c r="P9" s="20"/>
      <c r="Q9" s="20"/>
      <c r="R9" s="88"/>
      <c r="S9" s="13"/>
      <c r="T9" s="86"/>
      <c r="U9" s="20"/>
      <c r="V9" s="20"/>
      <c r="W9" s="20"/>
      <c r="X9" s="20"/>
      <c r="Y9" s="22">
        <f t="shared" si="0"/>
        <v>0</v>
      </c>
      <c r="Z9" s="149"/>
    </row>
    <row r="10" spans="1:26" ht="27.65" customHeight="1" x14ac:dyDescent="0.25">
      <c r="A10" s="125">
        <v>6</v>
      </c>
      <c r="B10" s="51" t="s">
        <v>52</v>
      </c>
      <c r="C10" s="51" t="s">
        <v>58</v>
      </c>
      <c r="D10" s="51" t="s">
        <v>21</v>
      </c>
      <c r="E10" s="3" t="s">
        <v>42</v>
      </c>
      <c r="F10" s="67">
        <v>45748</v>
      </c>
      <c r="G10" s="22"/>
      <c r="H10" s="23"/>
      <c r="I10" s="24"/>
      <c r="J10" s="25"/>
      <c r="K10" s="76">
        <v>2</v>
      </c>
      <c r="L10" s="6"/>
      <c r="M10" s="6">
        <v>2</v>
      </c>
      <c r="N10" s="13"/>
      <c r="O10" s="23"/>
      <c r="P10" s="20"/>
      <c r="Q10" s="20"/>
      <c r="R10" s="88"/>
      <c r="S10" s="13"/>
      <c r="T10" s="86"/>
      <c r="U10" s="20"/>
      <c r="V10" s="20"/>
      <c r="W10" s="20"/>
      <c r="X10" s="20"/>
      <c r="Y10" s="22">
        <f t="shared" si="0"/>
        <v>4</v>
      </c>
      <c r="Z10" s="40">
        <v>50000</v>
      </c>
    </row>
    <row r="11" spans="1:26" ht="27.65" customHeight="1" x14ac:dyDescent="0.25">
      <c r="A11" s="17">
        <v>7</v>
      </c>
      <c r="B11" s="51" t="s">
        <v>59</v>
      </c>
      <c r="C11" s="51" t="s">
        <v>64</v>
      </c>
      <c r="D11" s="3" t="s">
        <v>21</v>
      </c>
      <c r="E11" s="3" t="s">
        <v>41</v>
      </c>
      <c r="F11" s="67">
        <v>45748</v>
      </c>
      <c r="G11" s="22"/>
      <c r="H11" s="23"/>
      <c r="I11" s="24"/>
      <c r="J11" s="25"/>
      <c r="K11" s="76">
        <v>1</v>
      </c>
      <c r="L11" s="6"/>
      <c r="M11" s="6"/>
      <c r="N11" s="13"/>
      <c r="O11" s="23"/>
      <c r="P11" s="20"/>
      <c r="Q11" s="6"/>
      <c r="R11" s="35"/>
      <c r="S11" s="13"/>
      <c r="T11" s="102"/>
      <c r="U11" s="6"/>
      <c r="V11" s="6"/>
      <c r="W11" s="6"/>
      <c r="X11" s="20"/>
      <c r="Y11" s="22">
        <f t="shared" si="0"/>
        <v>1</v>
      </c>
      <c r="Z11" s="40">
        <v>40000</v>
      </c>
    </row>
    <row r="12" spans="1:26" ht="27.65" customHeight="1" x14ac:dyDescent="0.25">
      <c r="A12" s="125">
        <v>8</v>
      </c>
      <c r="B12" s="51" t="s">
        <v>45</v>
      </c>
      <c r="C12" s="51" t="s">
        <v>64</v>
      </c>
      <c r="D12" s="51" t="s">
        <v>21</v>
      </c>
      <c r="E12" s="3" t="s">
        <v>41</v>
      </c>
      <c r="F12" s="67">
        <v>45764</v>
      </c>
      <c r="G12" s="22"/>
      <c r="H12" s="23"/>
      <c r="I12" s="24"/>
      <c r="J12" s="25">
        <v>2</v>
      </c>
      <c r="K12" s="76"/>
      <c r="L12" s="6">
        <v>1</v>
      </c>
      <c r="M12" s="6"/>
      <c r="N12" s="13">
        <v>3</v>
      </c>
      <c r="O12" s="23"/>
      <c r="P12" s="20"/>
      <c r="Q12" s="20"/>
      <c r="R12" s="88"/>
      <c r="S12" s="13">
        <v>1</v>
      </c>
      <c r="T12" s="86"/>
      <c r="U12" s="20"/>
      <c r="V12" s="20"/>
      <c r="W12" s="20"/>
      <c r="X12" s="20"/>
      <c r="Y12" s="22">
        <f t="shared" si="0"/>
        <v>7</v>
      </c>
      <c r="Z12" s="40">
        <v>45000</v>
      </c>
    </row>
    <row r="13" spans="1:26" ht="27.65" customHeight="1" x14ac:dyDescent="0.25">
      <c r="A13" s="17">
        <v>9</v>
      </c>
      <c r="B13" s="51" t="s">
        <v>65</v>
      </c>
      <c r="C13" s="63" t="s">
        <v>57</v>
      </c>
      <c r="D13" s="51" t="s">
        <v>21</v>
      </c>
      <c r="E13" s="3" t="s">
        <v>42</v>
      </c>
      <c r="F13" s="67">
        <v>45765</v>
      </c>
      <c r="G13" s="22"/>
      <c r="H13" s="25"/>
      <c r="I13" s="13"/>
      <c r="J13" s="25">
        <v>3</v>
      </c>
      <c r="K13" s="76">
        <v>2</v>
      </c>
      <c r="L13" s="6"/>
      <c r="M13" s="6">
        <v>2</v>
      </c>
      <c r="N13" s="13">
        <v>1</v>
      </c>
      <c r="O13" s="25"/>
      <c r="P13" s="6"/>
      <c r="Q13" s="6"/>
      <c r="R13" s="35"/>
      <c r="S13" s="13"/>
      <c r="T13" s="102"/>
      <c r="U13" s="6"/>
      <c r="V13" s="6"/>
      <c r="W13" s="6"/>
      <c r="X13" s="6"/>
      <c r="Y13" s="22">
        <f t="shared" si="0"/>
        <v>8</v>
      </c>
      <c r="Z13" s="40">
        <v>70000</v>
      </c>
    </row>
    <row r="14" spans="1:26" ht="27.65" customHeight="1" x14ac:dyDescent="0.25">
      <c r="A14" s="125">
        <v>10</v>
      </c>
      <c r="B14" s="51" t="s">
        <v>66</v>
      </c>
      <c r="C14" s="63" t="s">
        <v>57</v>
      </c>
      <c r="D14" s="51" t="s">
        <v>21</v>
      </c>
      <c r="E14" s="3" t="s">
        <v>42</v>
      </c>
      <c r="F14" s="67">
        <v>45765</v>
      </c>
      <c r="G14" s="22"/>
      <c r="H14" s="23"/>
      <c r="I14" s="24"/>
      <c r="J14" s="25">
        <v>1</v>
      </c>
      <c r="K14" s="76"/>
      <c r="L14" s="6"/>
      <c r="M14" s="6"/>
      <c r="N14" s="13">
        <v>10</v>
      </c>
      <c r="O14" s="23"/>
      <c r="P14" s="20"/>
      <c r="Q14" s="20"/>
      <c r="R14" s="88"/>
      <c r="S14" s="13"/>
      <c r="T14" s="106"/>
      <c r="U14" s="20"/>
      <c r="V14" s="20"/>
      <c r="W14" s="20"/>
      <c r="X14" s="20">
        <v>2</v>
      </c>
      <c r="Y14" s="22">
        <f t="shared" si="0"/>
        <v>13</v>
      </c>
      <c r="Z14" s="40">
        <v>70000</v>
      </c>
    </row>
    <row r="15" spans="1:26" ht="27.65" customHeight="1" x14ac:dyDescent="0.25">
      <c r="A15" s="17">
        <v>11</v>
      </c>
      <c r="B15" s="51" t="s">
        <v>53</v>
      </c>
      <c r="C15" s="7" t="s">
        <v>64</v>
      </c>
      <c r="D15" s="51" t="s">
        <v>21</v>
      </c>
      <c r="E15" s="3" t="s">
        <v>41</v>
      </c>
      <c r="F15" s="67">
        <v>45765</v>
      </c>
      <c r="G15" s="22"/>
      <c r="H15" s="23"/>
      <c r="I15" s="24"/>
      <c r="J15" s="25"/>
      <c r="K15" s="76">
        <v>3</v>
      </c>
      <c r="L15" s="6"/>
      <c r="M15" s="6">
        <v>1</v>
      </c>
      <c r="N15" s="13">
        <v>1</v>
      </c>
      <c r="O15" s="23"/>
      <c r="P15" s="20"/>
      <c r="Q15" s="20"/>
      <c r="R15" s="88"/>
      <c r="S15" s="13"/>
      <c r="T15" s="106"/>
      <c r="U15" s="20"/>
      <c r="V15" s="20"/>
      <c r="W15" s="20"/>
      <c r="X15" s="20"/>
      <c r="Y15" s="22">
        <f t="shared" si="0"/>
        <v>5</v>
      </c>
      <c r="Z15" s="40">
        <v>70000</v>
      </c>
    </row>
    <row r="16" spans="1:26" ht="27.65" customHeight="1" x14ac:dyDescent="0.25">
      <c r="A16" s="125">
        <v>12</v>
      </c>
      <c r="B16" s="59" t="s">
        <v>60</v>
      </c>
      <c r="C16" s="59" t="s">
        <v>57</v>
      </c>
      <c r="D16" s="51" t="s">
        <v>21</v>
      </c>
      <c r="E16" s="54" t="s">
        <v>41</v>
      </c>
      <c r="F16" s="53">
        <v>45770</v>
      </c>
      <c r="G16" s="22"/>
      <c r="H16" s="23"/>
      <c r="I16" s="24"/>
      <c r="J16" s="25">
        <v>1</v>
      </c>
      <c r="K16" s="76"/>
      <c r="L16" s="6"/>
      <c r="M16" s="6">
        <v>1</v>
      </c>
      <c r="N16" s="13"/>
      <c r="O16" s="23"/>
      <c r="P16" s="20"/>
      <c r="Q16" s="20"/>
      <c r="R16" s="88"/>
      <c r="S16" s="13"/>
      <c r="T16" s="86"/>
      <c r="U16" s="20"/>
      <c r="V16" s="20"/>
      <c r="W16" s="20"/>
      <c r="X16" s="20"/>
      <c r="Y16" s="22">
        <f t="shared" si="0"/>
        <v>2</v>
      </c>
      <c r="Z16" s="40">
        <v>40000</v>
      </c>
    </row>
    <row r="17" spans="1:26" ht="27.65" customHeight="1" x14ac:dyDescent="0.25">
      <c r="A17" s="17">
        <v>13</v>
      </c>
      <c r="B17" s="68" t="s">
        <v>49</v>
      </c>
      <c r="C17" s="68" t="s">
        <v>57</v>
      </c>
      <c r="D17" s="51" t="s">
        <v>21</v>
      </c>
      <c r="E17" s="54" t="s">
        <v>41</v>
      </c>
      <c r="F17" s="92">
        <v>45771</v>
      </c>
      <c r="G17" s="21"/>
      <c r="H17" s="23"/>
      <c r="I17" s="24"/>
      <c r="J17" s="23"/>
      <c r="K17" s="86">
        <v>2</v>
      </c>
      <c r="L17" s="20"/>
      <c r="M17" s="88"/>
      <c r="N17" s="24">
        <v>2</v>
      </c>
      <c r="O17" s="23"/>
      <c r="P17" s="20">
        <v>1</v>
      </c>
      <c r="Q17" s="20"/>
      <c r="R17" s="88"/>
      <c r="S17" s="13"/>
      <c r="T17" s="86"/>
      <c r="U17" s="20"/>
      <c r="V17" s="20"/>
      <c r="W17" s="20">
        <v>1</v>
      </c>
      <c r="X17" s="20"/>
      <c r="Y17" s="22">
        <f t="shared" si="0"/>
        <v>6</v>
      </c>
      <c r="Z17" s="40">
        <v>100000</v>
      </c>
    </row>
    <row r="18" spans="1:26" ht="27.65" customHeight="1" x14ac:dyDescent="0.25">
      <c r="A18" s="125">
        <v>14</v>
      </c>
      <c r="B18" s="66" t="s">
        <v>62</v>
      </c>
      <c r="C18" s="66" t="s">
        <v>64</v>
      </c>
      <c r="D18" s="59" t="s">
        <v>21</v>
      </c>
      <c r="E18" s="54" t="s">
        <v>72</v>
      </c>
      <c r="F18" s="92">
        <v>45782</v>
      </c>
      <c r="G18" s="22"/>
      <c r="H18" s="23"/>
      <c r="I18" s="24"/>
      <c r="J18" s="23"/>
      <c r="K18" s="86"/>
      <c r="L18" s="20"/>
      <c r="M18" s="88">
        <v>1</v>
      </c>
      <c r="N18" s="24"/>
      <c r="O18" s="23"/>
      <c r="P18" s="20"/>
      <c r="Q18" s="20"/>
      <c r="R18" s="88"/>
      <c r="S18" s="13"/>
      <c r="T18" s="86"/>
      <c r="U18" s="20"/>
      <c r="V18" s="20"/>
      <c r="W18" s="20"/>
      <c r="X18" s="20"/>
      <c r="Y18" s="22">
        <f t="shared" si="0"/>
        <v>1</v>
      </c>
      <c r="Z18" s="40">
        <v>90000</v>
      </c>
    </row>
    <row r="19" spans="1:26" ht="27.65" customHeight="1" x14ac:dyDescent="0.25">
      <c r="A19" s="17">
        <v>15</v>
      </c>
      <c r="B19" s="66" t="s">
        <v>61</v>
      </c>
      <c r="C19" s="66" t="s">
        <v>64</v>
      </c>
      <c r="D19" s="59" t="s">
        <v>21</v>
      </c>
      <c r="E19" s="54" t="s">
        <v>42</v>
      </c>
      <c r="F19" s="92">
        <v>45790</v>
      </c>
      <c r="G19" s="22"/>
      <c r="H19" s="23"/>
      <c r="I19" s="24"/>
      <c r="J19" s="23"/>
      <c r="K19" s="86"/>
      <c r="L19" s="20"/>
      <c r="M19" s="88"/>
      <c r="N19" s="24"/>
      <c r="O19" s="23"/>
      <c r="P19" s="20">
        <v>4</v>
      </c>
      <c r="Q19" s="20">
        <v>4</v>
      </c>
      <c r="R19" s="88">
        <v>2</v>
      </c>
      <c r="S19" s="13"/>
      <c r="T19" s="86"/>
      <c r="U19" s="20"/>
      <c r="V19" s="20"/>
      <c r="W19" s="20"/>
      <c r="X19" s="20"/>
      <c r="Y19" s="22">
        <f t="shared" si="0"/>
        <v>10</v>
      </c>
      <c r="Z19" s="40">
        <v>40000</v>
      </c>
    </row>
    <row r="20" spans="1:26" ht="27.65" customHeight="1" x14ac:dyDescent="0.25">
      <c r="A20" s="125">
        <v>16</v>
      </c>
      <c r="B20" s="66" t="s">
        <v>93</v>
      </c>
      <c r="C20" s="66" t="s">
        <v>57</v>
      </c>
      <c r="D20" s="59" t="s">
        <v>21</v>
      </c>
      <c r="E20" s="54" t="s">
        <v>41</v>
      </c>
      <c r="F20" s="92">
        <v>45806</v>
      </c>
      <c r="G20" s="22"/>
      <c r="H20" s="23"/>
      <c r="I20" s="24"/>
      <c r="J20" s="23"/>
      <c r="K20" s="86"/>
      <c r="L20" s="20"/>
      <c r="M20" s="88"/>
      <c r="N20" s="24"/>
      <c r="O20" s="23"/>
      <c r="P20" s="20"/>
      <c r="Q20" s="20"/>
      <c r="R20" s="88"/>
      <c r="S20" s="13"/>
      <c r="T20" s="86"/>
      <c r="U20" s="20"/>
      <c r="V20" s="20"/>
      <c r="W20" s="20"/>
      <c r="X20" s="20"/>
      <c r="Y20" s="22">
        <f t="shared" si="0"/>
        <v>0</v>
      </c>
      <c r="Z20" s="40"/>
    </row>
    <row r="21" spans="1:26" ht="27.65" customHeight="1" x14ac:dyDescent="0.25">
      <c r="A21" s="17">
        <v>17</v>
      </c>
      <c r="B21" s="51" t="s">
        <v>67</v>
      </c>
      <c r="C21" s="51" t="s">
        <v>64</v>
      </c>
      <c r="D21" s="51" t="s">
        <v>21</v>
      </c>
      <c r="E21" s="3" t="s">
        <v>42</v>
      </c>
      <c r="F21" s="67">
        <v>45807</v>
      </c>
      <c r="G21" s="22"/>
      <c r="H21" s="25"/>
      <c r="I21" s="13"/>
      <c r="J21" s="25"/>
      <c r="K21" s="76"/>
      <c r="L21" s="6"/>
      <c r="M21" s="6"/>
      <c r="N21" s="13">
        <v>1</v>
      </c>
      <c r="O21" s="25"/>
      <c r="P21" s="6"/>
      <c r="Q21" s="6"/>
      <c r="R21" s="35"/>
      <c r="S21" s="13"/>
      <c r="T21" s="76"/>
      <c r="U21" s="6"/>
      <c r="V21" s="6"/>
      <c r="W21" s="6"/>
      <c r="X21" s="6"/>
      <c r="Y21" s="22">
        <f t="shared" si="0"/>
        <v>1</v>
      </c>
      <c r="Z21" s="40">
        <v>30000</v>
      </c>
    </row>
    <row r="22" spans="1:26" ht="27.65" customHeight="1" x14ac:dyDescent="0.25">
      <c r="A22" s="125">
        <v>18</v>
      </c>
      <c r="B22" s="74" t="s">
        <v>68</v>
      </c>
      <c r="C22" s="74" t="s">
        <v>57</v>
      </c>
      <c r="D22" s="75" t="s">
        <v>21</v>
      </c>
      <c r="E22" s="3" t="s">
        <v>73</v>
      </c>
      <c r="F22" s="65">
        <v>45810</v>
      </c>
      <c r="G22" s="22"/>
      <c r="H22" s="25"/>
      <c r="I22" s="13"/>
      <c r="J22" s="25">
        <v>1</v>
      </c>
      <c r="K22" s="76"/>
      <c r="L22" s="6"/>
      <c r="M22" s="6"/>
      <c r="N22" s="13"/>
      <c r="O22" s="25"/>
      <c r="P22" s="6"/>
      <c r="Q22" s="6"/>
      <c r="R22" s="35"/>
      <c r="S22" s="13"/>
      <c r="T22" s="102"/>
      <c r="U22" s="6"/>
      <c r="V22" s="6"/>
      <c r="W22" s="6"/>
      <c r="X22" s="6"/>
      <c r="Y22" s="22">
        <f t="shared" si="0"/>
        <v>1</v>
      </c>
      <c r="Z22" s="40">
        <v>60000</v>
      </c>
    </row>
    <row r="23" spans="1:26" ht="27.65" customHeight="1" x14ac:dyDescent="0.25">
      <c r="A23" s="17">
        <v>19</v>
      </c>
      <c r="B23" s="63" t="s">
        <v>69</v>
      </c>
      <c r="C23" s="63" t="s">
        <v>57</v>
      </c>
      <c r="D23" s="63" t="s">
        <v>21</v>
      </c>
      <c r="E23" s="3" t="s">
        <v>42</v>
      </c>
      <c r="F23" s="67">
        <v>45812</v>
      </c>
      <c r="G23" s="22"/>
      <c r="H23" s="25">
        <v>1</v>
      </c>
      <c r="I23" s="13">
        <v>1</v>
      </c>
      <c r="J23" s="25"/>
      <c r="K23" s="76"/>
      <c r="L23" s="6"/>
      <c r="M23" s="6"/>
      <c r="N23" s="13"/>
      <c r="O23" s="25">
        <v>1</v>
      </c>
      <c r="P23" s="6">
        <v>1</v>
      </c>
      <c r="Q23" s="6">
        <v>1</v>
      </c>
      <c r="R23" s="35"/>
      <c r="S23" s="13"/>
      <c r="T23" s="76"/>
      <c r="U23" s="6"/>
      <c r="V23" s="6"/>
      <c r="W23" s="6">
        <v>2</v>
      </c>
      <c r="X23" s="6"/>
      <c r="Y23" s="22">
        <f t="shared" si="0"/>
        <v>7</v>
      </c>
      <c r="Z23" s="40">
        <v>40000</v>
      </c>
    </row>
    <row r="24" spans="1:26" ht="27.65" customHeight="1" x14ac:dyDescent="0.25">
      <c r="A24" s="125"/>
      <c r="B24" s="63" t="s">
        <v>70</v>
      </c>
      <c r="C24" s="63" t="s">
        <v>71</v>
      </c>
      <c r="D24" s="63" t="s">
        <v>20</v>
      </c>
      <c r="E24" s="3" t="s">
        <v>43</v>
      </c>
      <c r="F24" s="67">
        <v>45812</v>
      </c>
      <c r="G24" s="22"/>
      <c r="H24" s="23"/>
      <c r="I24" s="24"/>
      <c r="J24" s="23">
        <v>2</v>
      </c>
      <c r="K24" s="86"/>
      <c r="L24" s="20"/>
      <c r="M24" s="88"/>
      <c r="N24" s="24"/>
      <c r="O24" s="23"/>
      <c r="P24" s="20"/>
      <c r="Q24" s="20"/>
      <c r="R24" s="88"/>
      <c r="S24" s="13"/>
      <c r="T24" s="86"/>
      <c r="U24" s="20"/>
      <c r="V24" s="20"/>
      <c r="W24" s="20"/>
      <c r="X24" s="20"/>
      <c r="Y24" s="22">
        <f t="shared" si="0"/>
        <v>2</v>
      </c>
      <c r="Z24" s="40">
        <v>60000</v>
      </c>
    </row>
    <row r="25" spans="1:26" ht="27.65" customHeight="1" x14ac:dyDescent="0.25">
      <c r="A25" s="125">
        <v>20</v>
      </c>
      <c r="B25" s="63" t="s">
        <v>94</v>
      </c>
      <c r="C25" s="63" t="s">
        <v>57</v>
      </c>
      <c r="D25" s="63" t="s">
        <v>21</v>
      </c>
      <c r="E25" s="69" t="s">
        <v>41</v>
      </c>
      <c r="F25" s="67">
        <v>45819</v>
      </c>
      <c r="G25" s="22"/>
      <c r="H25" s="23"/>
      <c r="I25" s="24"/>
      <c r="J25" s="23"/>
      <c r="K25" s="86"/>
      <c r="L25" s="20"/>
      <c r="M25" s="88"/>
      <c r="N25" s="24"/>
      <c r="O25" s="23"/>
      <c r="P25" s="20"/>
      <c r="Q25" s="20"/>
      <c r="R25" s="88"/>
      <c r="S25" s="13"/>
      <c r="T25" s="86"/>
      <c r="U25" s="20"/>
      <c r="V25" s="20"/>
      <c r="W25" s="20"/>
      <c r="X25" s="20"/>
      <c r="Y25" s="22">
        <f t="shared" si="0"/>
        <v>0</v>
      </c>
      <c r="Z25" s="40"/>
    </row>
    <row r="26" spans="1:26" ht="27.65" customHeight="1" x14ac:dyDescent="0.25">
      <c r="A26" s="17">
        <v>21</v>
      </c>
      <c r="B26" s="51" t="s">
        <v>75</v>
      </c>
      <c r="C26" s="51" t="s">
        <v>57</v>
      </c>
      <c r="D26" s="51" t="s">
        <v>21</v>
      </c>
      <c r="E26" s="69" t="s">
        <v>42</v>
      </c>
      <c r="F26" s="53">
        <v>45832</v>
      </c>
      <c r="G26" s="22"/>
      <c r="H26" s="23"/>
      <c r="I26" s="24"/>
      <c r="J26" s="23">
        <v>1</v>
      </c>
      <c r="K26" s="86"/>
      <c r="L26" s="20"/>
      <c r="M26" s="88"/>
      <c r="N26" s="24"/>
      <c r="O26" s="23"/>
      <c r="P26" s="20"/>
      <c r="Q26" s="20"/>
      <c r="R26" s="88"/>
      <c r="S26" s="13"/>
      <c r="T26" s="86"/>
      <c r="U26" s="20"/>
      <c r="V26" s="20"/>
      <c r="W26" s="20"/>
      <c r="X26" s="20"/>
      <c r="Y26" s="22">
        <f t="shared" si="0"/>
        <v>1</v>
      </c>
      <c r="Z26" s="40">
        <v>80000</v>
      </c>
    </row>
    <row r="27" spans="1:26" ht="27.65" customHeight="1" x14ac:dyDescent="0.25">
      <c r="A27" s="125">
        <v>22</v>
      </c>
      <c r="B27" s="51" t="s">
        <v>89</v>
      </c>
      <c r="C27" s="51" t="s">
        <v>81</v>
      </c>
      <c r="D27" s="51" t="s">
        <v>21</v>
      </c>
      <c r="E27" s="151" t="s">
        <v>42</v>
      </c>
      <c r="F27" s="53">
        <v>45846</v>
      </c>
      <c r="G27" s="22"/>
      <c r="H27" s="23"/>
      <c r="I27" s="24"/>
      <c r="J27" s="23"/>
      <c r="K27" s="86"/>
      <c r="L27" s="20"/>
      <c r="M27" s="88"/>
      <c r="N27" s="24"/>
      <c r="O27" s="23"/>
      <c r="P27" s="20"/>
      <c r="Q27" s="20"/>
      <c r="R27" s="88"/>
      <c r="S27" s="13"/>
      <c r="T27" s="86"/>
      <c r="U27" s="20"/>
      <c r="V27" s="20"/>
      <c r="W27" s="20">
        <v>1</v>
      </c>
      <c r="X27" s="20"/>
      <c r="Y27" s="22">
        <f t="shared" si="0"/>
        <v>1</v>
      </c>
      <c r="Z27" s="40">
        <v>25000</v>
      </c>
    </row>
    <row r="28" spans="1:26" ht="27.65" customHeight="1" x14ac:dyDescent="0.25">
      <c r="A28" s="17">
        <v>23</v>
      </c>
      <c r="B28" s="51" t="s">
        <v>76</v>
      </c>
      <c r="C28" s="51" t="s">
        <v>57</v>
      </c>
      <c r="D28" s="3" t="s">
        <v>21</v>
      </c>
      <c r="E28" s="54" t="s">
        <v>41</v>
      </c>
      <c r="F28" s="67">
        <v>45855</v>
      </c>
      <c r="G28" s="22"/>
      <c r="H28" s="25"/>
      <c r="I28" s="13"/>
      <c r="J28" s="25">
        <v>1</v>
      </c>
      <c r="K28" s="76"/>
      <c r="L28" s="6">
        <v>1</v>
      </c>
      <c r="M28" s="6"/>
      <c r="N28" s="13"/>
      <c r="O28" s="25"/>
      <c r="P28" s="6"/>
      <c r="Q28" s="6"/>
      <c r="R28" s="35"/>
      <c r="S28" s="13"/>
      <c r="T28" s="76"/>
      <c r="U28" s="6"/>
      <c r="V28" s="6"/>
      <c r="W28" s="6"/>
      <c r="X28" s="6"/>
      <c r="Y28" s="22">
        <f t="shared" si="0"/>
        <v>2</v>
      </c>
      <c r="Z28" s="40">
        <v>125000</v>
      </c>
    </row>
    <row r="29" spans="1:26" ht="27.65" customHeight="1" x14ac:dyDescent="0.25">
      <c r="A29" s="125"/>
      <c r="B29" s="51" t="s">
        <v>77</v>
      </c>
      <c r="C29" s="51" t="s">
        <v>71</v>
      </c>
      <c r="D29" s="3" t="s">
        <v>20</v>
      </c>
      <c r="E29" s="3" t="s">
        <v>72</v>
      </c>
      <c r="F29" s="52">
        <v>45859</v>
      </c>
      <c r="G29" s="22"/>
      <c r="H29" s="25"/>
      <c r="I29" s="13"/>
      <c r="J29" s="25">
        <v>2</v>
      </c>
      <c r="K29" s="76"/>
      <c r="L29" s="6">
        <v>3</v>
      </c>
      <c r="M29" s="6"/>
      <c r="N29" s="35"/>
      <c r="O29" s="25"/>
      <c r="P29" s="6"/>
      <c r="Q29" s="6"/>
      <c r="R29" s="35"/>
      <c r="S29" s="13"/>
      <c r="T29" s="76"/>
      <c r="U29" s="6"/>
      <c r="V29" s="6"/>
      <c r="W29" s="6"/>
      <c r="X29" s="6"/>
      <c r="Y29" s="22">
        <f t="shared" si="0"/>
        <v>5</v>
      </c>
      <c r="Z29" s="40">
        <v>162000</v>
      </c>
    </row>
    <row r="30" spans="1:26" ht="27.65" customHeight="1" x14ac:dyDescent="0.25">
      <c r="A30" s="17"/>
      <c r="B30" s="66" t="s">
        <v>78</v>
      </c>
      <c r="C30" s="66" t="s">
        <v>71</v>
      </c>
      <c r="D30" s="3" t="s">
        <v>20</v>
      </c>
      <c r="E30" s="3" t="s">
        <v>41</v>
      </c>
      <c r="F30" s="67">
        <v>45859</v>
      </c>
      <c r="G30" s="22"/>
      <c r="H30" s="25"/>
      <c r="I30" s="13"/>
      <c r="J30" s="25">
        <v>1</v>
      </c>
      <c r="K30" s="76"/>
      <c r="L30" s="6"/>
      <c r="M30" s="6">
        <v>1</v>
      </c>
      <c r="N30" s="35"/>
      <c r="O30" s="25"/>
      <c r="P30" s="6">
        <v>3</v>
      </c>
      <c r="Q30" s="6"/>
      <c r="R30" s="35"/>
      <c r="S30" s="13"/>
      <c r="T30" s="76"/>
      <c r="U30" s="6"/>
      <c r="V30" s="6"/>
      <c r="W30" s="6"/>
      <c r="X30" s="6"/>
      <c r="Y30" s="22">
        <f t="shared" si="0"/>
        <v>5</v>
      </c>
      <c r="Z30" s="40">
        <v>35000</v>
      </c>
    </row>
    <row r="31" spans="1:26" ht="27.65" customHeight="1" x14ac:dyDescent="0.25">
      <c r="A31" s="125"/>
      <c r="B31" s="63" t="s">
        <v>79</v>
      </c>
      <c r="C31" s="59" t="s">
        <v>81</v>
      </c>
      <c r="D31" s="3" t="s">
        <v>20</v>
      </c>
      <c r="E31" s="3" t="s">
        <v>72</v>
      </c>
      <c r="F31" s="67">
        <v>45860</v>
      </c>
      <c r="G31" s="22"/>
      <c r="H31" s="25"/>
      <c r="I31" s="13"/>
      <c r="J31" s="25"/>
      <c r="K31" s="76"/>
      <c r="L31" s="6">
        <v>1</v>
      </c>
      <c r="M31" s="6"/>
      <c r="N31" s="13"/>
      <c r="O31" s="25"/>
      <c r="P31" s="6"/>
      <c r="Q31" s="6"/>
      <c r="R31" s="35"/>
      <c r="S31" s="13"/>
      <c r="T31" s="76"/>
      <c r="U31" s="6"/>
      <c r="V31" s="6"/>
      <c r="W31" s="6"/>
      <c r="X31" s="6"/>
      <c r="Y31" s="22">
        <f t="shared" si="0"/>
        <v>1</v>
      </c>
      <c r="Z31" s="40">
        <v>180000</v>
      </c>
    </row>
    <row r="32" spans="1:26" ht="27.65" customHeight="1" x14ac:dyDescent="0.25">
      <c r="A32" s="17">
        <v>24</v>
      </c>
      <c r="B32" s="51" t="s">
        <v>80</v>
      </c>
      <c r="C32" s="51" t="s">
        <v>81</v>
      </c>
      <c r="D32" s="51" t="s">
        <v>21</v>
      </c>
      <c r="E32" s="69" t="s">
        <v>42</v>
      </c>
      <c r="F32" s="67">
        <v>45860</v>
      </c>
      <c r="G32" s="22"/>
      <c r="H32" s="25"/>
      <c r="I32" s="13"/>
      <c r="J32" s="25"/>
      <c r="K32" s="76"/>
      <c r="L32" s="6"/>
      <c r="M32" s="35"/>
      <c r="N32" s="13"/>
      <c r="O32" s="25">
        <v>1</v>
      </c>
      <c r="P32" s="6"/>
      <c r="Q32" s="6"/>
      <c r="R32" s="35"/>
      <c r="S32" s="13"/>
      <c r="T32" s="76"/>
      <c r="U32" s="6"/>
      <c r="V32" s="6"/>
      <c r="W32" s="6"/>
      <c r="X32" s="6">
        <v>1</v>
      </c>
      <c r="Y32" s="22">
        <f t="shared" si="0"/>
        <v>2</v>
      </c>
      <c r="Z32" s="40">
        <v>25000</v>
      </c>
    </row>
    <row r="33" spans="1:26" ht="27.65" customHeight="1" x14ac:dyDescent="0.25">
      <c r="A33" s="125">
        <v>25</v>
      </c>
      <c r="B33" s="51" t="s">
        <v>82</v>
      </c>
      <c r="C33" s="51" t="s">
        <v>64</v>
      </c>
      <c r="D33" s="51" t="s">
        <v>21</v>
      </c>
      <c r="E33" s="3" t="s">
        <v>42</v>
      </c>
      <c r="F33" s="67">
        <v>45861</v>
      </c>
      <c r="G33" s="22"/>
      <c r="H33" s="25"/>
      <c r="I33" s="13"/>
      <c r="J33" s="25"/>
      <c r="K33" s="76"/>
      <c r="L33" s="6"/>
      <c r="M33" s="6"/>
      <c r="N33" s="13"/>
      <c r="O33" s="25">
        <v>1</v>
      </c>
      <c r="P33" s="6"/>
      <c r="Q33" s="6"/>
      <c r="R33" s="35"/>
      <c r="S33" s="13"/>
      <c r="T33" s="76"/>
      <c r="U33" s="6"/>
      <c r="V33" s="6"/>
      <c r="W33" s="6"/>
      <c r="X33" s="6"/>
      <c r="Y33" s="22">
        <f t="shared" si="0"/>
        <v>1</v>
      </c>
      <c r="Z33" s="40">
        <v>45000</v>
      </c>
    </row>
    <row r="34" spans="1:26" ht="27.65" customHeight="1" x14ac:dyDescent="0.25">
      <c r="A34" s="17">
        <v>26</v>
      </c>
      <c r="B34" s="59" t="s">
        <v>85</v>
      </c>
      <c r="C34" s="59" t="s">
        <v>86</v>
      </c>
      <c r="D34" s="3" t="s">
        <v>21</v>
      </c>
      <c r="E34" s="69" t="s">
        <v>41</v>
      </c>
      <c r="F34" s="67">
        <v>45862</v>
      </c>
      <c r="G34" s="22"/>
      <c r="H34" s="25"/>
      <c r="I34" s="13"/>
      <c r="J34" s="25"/>
      <c r="K34" s="76">
        <v>1</v>
      </c>
      <c r="L34" s="6"/>
      <c r="M34" s="35"/>
      <c r="N34" s="13"/>
      <c r="O34" s="25"/>
      <c r="P34" s="6"/>
      <c r="Q34" s="6"/>
      <c r="R34" s="35"/>
      <c r="S34" s="13"/>
      <c r="T34" s="102"/>
      <c r="U34" s="6"/>
      <c r="V34" s="6"/>
      <c r="W34" s="6"/>
      <c r="X34" s="6"/>
      <c r="Y34" s="22">
        <f t="shared" si="0"/>
        <v>1</v>
      </c>
      <c r="Z34" s="40">
        <v>45000</v>
      </c>
    </row>
    <row r="35" spans="1:26" ht="27.65" customHeight="1" x14ac:dyDescent="0.25">
      <c r="A35" s="131"/>
      <c r="B35" s="59" t="s">
        <v>96</v>
      </c>
      <c r="C35" s="59" t="s">
        <v>86</v>
      </c>
      <c r="D35" s="3" t="s">
        <v>21</v>
      </c>
      <c r="E35" s="69" t="s">
        <v>41</v>
      </c>
      <c r="F35" s="67">
        <v>45862</v>
      </c>
      <c r="G35" s="22"/>
      <c r="H35" s="25"/>
      <c r="I35" s="35"/>
      <c r="J35" s="25"/>
      <c r="K35" s="76">
        <v>1</v>
      </c>
      <c r="L35" s="6"/>
      <c r="M35" s="35"/>
      <c r="N35" s="35"/>
      <c r="O35" s="25"/>
      <c r="P35" s="6"/>
      <c r="Q35" s="6"/>
      <c r="R35" s="35"/>
      <c r="S35" s="13"/>
      <c r="T35" s="102"/>
      <c r="U35" s="6"/>
      <c r="V35" s="6"/>
      <c r="W35" s="6"/>
      <c r="X35" s="6"/>
      <c r="Y35" s="22">
        <f t="shared" si="0"/>
        <v>1</v>
      </c>
      <c r="Z35" s="40">
        <v>45000</v>
      </c>
    </row>
    <row r="36" spans="1:26" ht="27.65" customHeight="1" x14ac:dyDescent="0.25">
      <c r="A36" s="125"/>
      <c r="B36" s="51" t="s">
        <v>83</v>
      </c>
      <c r="C36" s="3" t="s">
        <v>71</v>
      </c>
      <c r="D36" s="3" t="s">
        <v>20</v>
      </c>
      <c r="E36" s="3" t="s">
        <v>84</v>
      </c>
      <c r="F36" s="67">
        <v>45862</v>
      </c>
      <c r="G36" s="22"/>
      <c r="H36" s="25"/>
      <c r="I36" s="35">
        <v>1</v>
      </c>
      <c r="J36" s="25"/>
      <c r="K36" s="76"/>
      <c r="L36" s="6"/>
      <c r="M36" s="6"/>
      <c r="N36" s="35"/>
      <c r="O36" s="25"/>
      <c r="P36" s="6"/>
      <c r="Q36" s="6"/>
      <c r="R36" s="6">
        <v>1</v>
      </c>
      <c r="S36" s="13"/>
      <c r="T36" s="102"/>
      <c r="U36" s="6"/>
      <c r="V36" s="6"/>
      <c r="W36" s="6"/>
      <c r="X36" s="6"/>
      <c r="Y36" s="22">
        <f t="shared" si="0"/>
        <v>2</v>
      </c>
      <c r="Z36" s="40"/>
    </row>
    <row r="37" spans="1:26" ht="27.65" customHeight="1" x14ac:dyDescent="0.25">
      <c r="A37" s="17"/>
      <c r="B37" s="51" t="s">
        <v>87</v>
      </c>
      <c r="C37" s="63" t="s">
        <v>86</v>
      </c>
      <c r="D37" s="63" t="s">
        <v>20</v>
      </c>
      <c r="E37" s="54" t="s">
        <v>41</v>
      </c>
      <c r="F37" s="67">
        <v>45863</v>
      </c>
      <c r="G37" s="22"/>
      <c r="H37" s="25"/>
      <c r="I37" s="13"/>
      <c r="J37" s="25"/>
      <c r="K37" s="76">
        <v>5</v>
      </c>
      <c r="L37" s="6"/>
      <c r="M37" s="6">
        <v>2</v>
      </c>
      <c r="N37" s="13"/>
      <c r="O37" s="25"/>
      <c r="P37" s="6"/>
      <c r="Q37" s="6"/>
      <c r="R37" s="35"/>
      <c r="S37" s="13"/>
      <c r="T37" s="102"/>
      <c r="U37" s="6"/>
      <c r="V37" s="6"/>
      <c r="W37" s="6"/>
      <c r="X37" s="6"/>
      <c r="Y37" s="22">
        <f t="shared" si="0"/>
        <v>7</v>
      </c>
      <c r="Z37" s="40">
        <v>70000</v>
      </c>
    </row>
    <row r="38" spans="1:26" ht="27.65" customHeight="1" x14ac:dyDescent="0.25">
      <c r="A38" s="17"/>
      <c r="B38" s="63" t="s">
        <v>95</v>
      </c>
      <c r="C38" s="63" t="s">
        <v>71</v>
      </c>
      <c r="D38" s="3" t="s">
        <v>20</v>
      </c>
      <c r="E38" s="3" t="s">
        <v>46</v>
      </c>
      <c r="F38" s="67">
        <v>45869</v>
      </c>
      <c r="G38" s="22"/>
      <c r="H38" s="25"/>
      <c r="I38" s="13"/>
      <c r="J38" s="25">
        <v>1</v>
      </c>
      <c r="K38" s="76"/>
      <c r="L38" s="6">
        <v>1</v>
      </c>
      <c r="M38" s="6">
        <v>1</v>
      </c>
      <c r="N38" s="13"/>
      <c r="O38" s="25"/>
      <c r="P38" s="6"/>
      <c r="Q38" s="6"/>
      <c r="R38" s="35"/>
      <c r="S38" s="13"/>
      <c r="T38" s="102"/>
      <c r="U38" s="6"/>
      <c r="V38" s="6"/>
      <c r="W38" s="6"/>
      <c r="X38" s="6"/>
      <c r="Y38" s="22">
        <f t="shared" si="0"/>
        <v>3</v>
      </c>
      <c r="Z38" s="40">
        <v>40000</v>
      </c>
    </row>
    <row r="39" spans="1:26" ht="27.65" customHeight="1" x14ac:dyDescent="0.25">
      <c r="A39" s="17">
        <v>28</v>
      </c>
      <c r="B39" s="3" t="s">
        <v>97</v>
      </c>
      <c r="C39" s="3" t="s">
        <v>98</v>
      </c>
      <c r="D39" s="3" t="s">
        <v>21</v>
      </c>
      <c r="E39" s="3" t="s">
        <v>41</v>
      </c>
      <c r="F39" s="53">
        <v>45870</v>
      </c>
      <c r="G39" s="22"/>
      <c r="H39" s="25"/>
      <c r="I39" s="13"/>
      <c r="J39" s="25"/>
      <c r="K39" s="76"/>
      <c r="L39" s="6">
        <v>1</v>
      </c>
      <c r="M39" s="35"/>
      <c r="N39" s="13">
        <v>2</v>
      </c>
      <c r="O39" s="25"/>
      <c r="P39" s="6"/>
      <c r="Q39" s="6"/>
      <c r="R39" s="35"/>
      <c r="S39" s="13"/>
      <c r="T39" s="76"/>
      <c r="U39" s="6"/>
      <c r="V39" s="6"/>
      <c r="W39" s="6"/>
      <c r="X39" s="6"/>
      <c r="Y39" s="22">
        <f t="shared" si="0"/>
        <v>3</v>
      </c>
      <c r="Z39" s="40">
        <v>35000</v>
      </c>
    </row>
    <row r="40" spans="1:26" ht="27.65" customHeight="1" x14ac:dyDescent="0.25">
      <c r="A40" s="17"/>
      <c r="B40" s="3" t="s">
        <v>99</v>
      </c>
      <c r="C40" s="3" t="s">
        <v>71</v>
      </c>
      <c r="D40" s="3" t="s">
        <v>20</v>
      </c>
      <c r="E40" s="3" t="s">
        <v>72</v>
      </c>
      <c r="F40" s="53">
        <v>45874</v>
      </c>
      <c r="G40" s="22"/>
      <c r="H40" s="25"/>
      <c r="I40" s="13"/>
      <c r="J40" s="25">
        <v>2</v>
      </c>
      <c r="K40" s="76"/>
      <c r="L40" s="6">
        <v>1</v>
      </c>
      <c r="M40" s="6"/>
      <c r="N40" s="13"/>
      <c r="O40" s="25"/>
      <c r="P40" s="6"/>
      <c r="Q40" s="6"/>
      <c r="R40" s="35"/>
      <c r="S40" s="13"/>
      <c r="T40" s="76"/>
      <c r="U40" s="6"/>
      <c r="V40" s="6"/>
      <c r="W40" s="6"/>
      <c r="X40" s="6"/>
      <c r="Y40" s="22">
        <f t="shared" si="0"/>
        <v>3</v>
      </c>
      <c r="Z40" s="40">
        <v>80000</v>
      </c>
    </row>
    <row r="41" spans="1:26" ht="27.65" customHeight="1" x14ac:dyDescent="0.25">
      <c r="A41" s="17"/>
      <c r="B41" s="59" t="s">
        <v>101</v>
      </c>
      <c r="C41" s="3" t="s">
        <v>71</v>
      </c>
      <c r="D41" s="51" t="s">
        <v>20</v>
      </c>
      <c r="E41" s="3" t="s">
        <v>72</v>
      </c>
      <c r="F41" s="53">
        <v>45876</v>
      </c>
      <c r="G41" s="22"/>
      <c r="H41" s="23"/>
      <c r="I41" s="88"/>
      <c r="J41" s="25"/>
      <c r="K41" s="76">
        <v>1</v>
      </c>
      <c r="L41" s="6"/>
      <c r="M41" s="6"/>
      <c r="N41" s="35"/>
      <c r="O41" s="25"/>
      <c r="P41" s="6"/>
      <c r="Q41" s="6"/>
      <c r="R41" s="6"/>
      <c r="S41" s="13"/>
      <c r="T41" s="86"/>
      <c r="U41" s="20"/>
      <c r="V41" s="20"/>
      <c r="W41" s="20"/>
      <c r="X41" s="20"/>
      <c r="Y41" s="22">
        <f t="shared" si="0"/>
        <v>1</v>
      </c>
      <c r="Z41" s="40">
        <v>90000</v>
      </c>
    </row>
    <row r="42" spans="1:26" ht="27.65" customHeight="1" x14ac:dyDescent="0.25">
      <c r="A42" s="17"/>
      <c r="B42" s="51" t="s">
        <v>102</v>
      </c>
      <c r="C42" s="51" t="s">
        <v>71</v>
      </c>
      <c r="D42" s="51" t="s">
        <v>20</v>
      </c>
      <c r="E42" s="69" t="s">
        <v>41</v>
      </c>
      <c r="F42" s="53">
        <v>45876</v>
      </c>
      <c r="G42" s="22"/>
      <c r="H42" s="25"/>
      <c r="I42" s="13"/>
      <c r="J42" s="25">
        <v>1</v>
      </c>
      <c r="K42" s="76"/>
      <c r="L42" s="6"/>
      <c r="M42" s="35"/>
      <c r="N42" s="13"/>
      <c r="O42" s="25"/>
      <c r="P42" s="6"/>
      <c r="Q42" s="6"/>
      <c r="R42" s="35"/>
      <c r="S42" s="13"/>
      <c r="T42" s="102"/>
      <c r="U42" s="6"/>
      <c r="V42" s="6"/>
      <c r="W42" s="6"/>
      <c r="X42" s="6"/>
      <c r="Y42" s="22">
        <f t="shared" si="0"/>
        <v>1</v>
      </c>
      <c r="Z42" s="40">
        <v>50000</v>
      </c>
    </row>
    <row r="43" spans="1:26" ht="27.65" customHeight="1" x14ac:dyDescent="0.25">
      <c r="A43" s="17"/>
      <c r="B43" s="51" t="s">
        <v>103</v>
      </c>
      <c r="C43" s="51" t="s">
        <v>71</v>
      </c>
      <c r="D43" s="3" t="s">
        <v>20</v>
      </c>
      <c r="E43" s="69" t="s">
        <v>41</v>
      </c>
      <c r="F43" s="53">
        <v>45877</v>
      </c>
      <c r="G43" s="22"/>
      <c r="H43" s="25"/>
      <c r="I43" s="13"/>
      <c r="J43" s="25">
        <v>1</v>
      </c>
      <c r="K43" s="76">
        <v>3</v>
      </c>
      <c r="L43" s="6">
        <v>1</v>
      </c>
      <c r="M43" s="35">
        <v>1</v>
      </c>
      <c r="N43" s="13"/>
      <c r="O43" s="25"/>
      <c r="P43" s="6"/>
      <c r="Q43" s="6"/>
      <c r="R43" s="35"/>
      <c r="S43" s="13"/>
      <c r="T43" s="76"/>
      <c r="U43" s="6"/>
      <c r="V43" s="6"/>
      <c r="W43" s="6"/>
      <c r="X43" s="6"/>
      <c r="Y43" s="22">
        <f t="shared" si="0"/>
        <v>6</v>
      </c>
      <c r="Z43" s="40">
        <v>60000</v>
      </c>
    </row>
    <row r="44" spans="1:26" ht="27.65" customHeight="1" x14ac:dyDescent="0.25">
      <c r="A44" s="17"/>
      <c r="B44" s="51" t="s">
        <v>105</v>
      </c>
      <c r="C44" s="51" t="s">
        <v>71</v>
      </c>
      <c r="D44" s="3" t="s">
        <v>20</v>
      </c>
      <c r="E44" s="69" t="s">
        <v>41</v>
      </c>
      <c r="F44" s="67">
        <v>45880</v>
      </c>
      <c r="G44" s="22"/>
      <c r="H44" s="25"/>
      <c r="I44" s="13"/>
      <c r="J44" s="25">
        <v>1</v>
      </c>
      <c r="K44" s="76">
        <v>2</v>
      </c>
      <c r="L44" s="6">
        <v>2</v>
      </c>
      <c r="M44" s="6"/>
      <c r="N44" s="35">
        <v>2</v>
      </c>
      <c r="O44" s="25"/>
      <c r="P44" s="6">
        <v>1</v>
      </c>
      <c r="Q44" s="6"/>
      <c r="R44" s="35"/>
      <c r="S44" s="13"/>
      <c r="T44" s="76"/>
      <c r="U44" s="6"/>
      <c r="V44" s="6"/>
      <c r="W44" s="6"/>
      <c r="X44" s="6"/>
      <c r="Y44" s="22">
        <f t="shared" si="0"/>
        <v>8</v>
      </c>
      <c r="Z44" s="40">
        <v>70000</v>
      </c>
    </row>
    <row r="45" spans="1:26" ht="27.65" customHeight="1" x14ac:dyDescent="0.25">
      <c r="A45" s="17"/>
      <c r="B45" s="51" t="s">
        <v>97</v>
      </c>
      <c r="C45" s="51" t="s">
        <v>71</v>
      </c>
      <c r="D45" s="3" t="s">
        <v>20</v>
      </c>
      <c r="E45" s="69" t="s">
        <v>41</v>
      </c>
      <c r="F45" s="67">
        <v>45882</v>
      </c>
      <c r="G45" s="22"/>
      <c r="H45" s="25"/>
      <c r="I45" s="13"/>
      <c r="J45" s="25">
        <v>2</v>
      </c>
      <c r="K45" s="76">
        <v>1</v>
      </c>
      <c r="L45" s="6">
        <v>4</v>
      </c>
      <c r="M45" s="6">
        <v>8</v>
      </c>
      <c r="N45" s="35">
        <v>2</v>
      </c>
      <c r="O45" s="25"/>
      <c r="P45" s="6">
        <v>1</v>
      </c>
      <c r="Q45" s="6"/>
      <c r="R45" s="35"/>
      <c r="S45" s="13"/>
      <c r="T45" s="76"/>
      <c r="U45" s="6"/>
      <c r="V45" s="6"/>
      <c r="W45" s="6"/>
      <c r="X45" s="6"/>
      <c r="Y45" s="22">
        <f t="shared" si="0"/>
        <v>18</v>
      </c>
      <c r="Z45" s="40">
        <v>35000</v>
      </c>
    </row>
    <row r="46" spans="1:26" ht="27.65" customHeight="1" x14ac:dyDescent="0.25">
      <c r="A46" s="17">
        <v>29</v>
      </c>
      <c r="B46" s="66" t="s">
        <v>107</v>
      </c>
      <c r="C46" s="66" t="s">
        <v>71</v>
      </c>
      <c r="D46" s="51" t="s">
        <v>21</v>
      </c>
      <c r="E46" s="3" t="s">
        <v>42</v>
      </c>
      <c r="F46" s="67">
        <v>45883</v>
      </c>
      <c r="G46" s="22"/>
      <c r="H46" s="25"/>
      <c r="I46" s="13"/>
      <c r="J46" s="25"/>
      <c r="K46" s="76">
        <v>1</v>
      </c>
      <c r="L46" s="6">
        <v>1</v>
      </c>
      <c r="M46" s="6"/>
      <c r="N46" s="13"/>
      <c r="O46" s="25"/>
      <c r="P46" s="6"/>
      <c r="Q46" s="6"/>
      <c r="R46" s="35"/>
      <c r="S46" s="13">
        <v>2</v>
      </c>
      <c r="T46" s="76"/>
      <c r="U46" s="6"/>
      <c r="V46" s="6"/>
      <c r="W46" s="6"/>
      <c r="X46" s="6"/>
      <c r="Y46" s="22">
        <f t="shared" si="0"/>
        <v>4</v>
      </c>
      <c r="Z46" s="40">
        <v>50000</v>
      </c>
    </row>
    <row r="47" spans="1:26" ht="27.65" customHeight="1" x14ac:dyDescent="0.25">
      <c r="A47" s="17"/>
      <c r="B47" s="51" t="s">
        <v>110</v>
      </c>
      <c r="C47" s="66" t="s">
        <v>71</v>
      </c>
      <c r="D47" s="51" t="s">
        <v>20</v>
      </c>
      <c r="E47" s="54" t="s">
        <v>72</v>
      </c>
      <c r="F47" s="67">
        <v>45889</v>
      </c>
      <c r="G47" s="22"/>
      <c r="H47" s="25"/>
      <c r="I47" s="13"/>
      <c r="J47" s="25">
        <v>1</v>
      </c>
      <c r="K47" s="76"/>
      <c r="L47" s="6"/>
      <c r="M47" s="6">
        <v>2</v>
      </c>
      <c r="N47" s="35">
        <v>1</v>
      </c>
      <c r="O47" s="25"/>
      <c r="P47" s="6"/>
      <c r="Q47" s="6"/>
      <c r="R47" s="35"/>
      <c r="S47" s="13"/>
      <c r="T47" s="102"/>
      <c r="U47" s="6"/>
      <c r="V47" s="6"/>
      <c r="W47" s="6"/>
      <c r="X47" s="6"/>
      <c r="Y47" s="22">
        <f t="shared" si="0"/>
        <v>4</v>
      </c>
      <c r="Z47" s="40">
        <v>65000</v>
      </c>
    </row>
    <row r="48" spans="1:26" ht="27.65" customHeight="1" x14ac:dyDescent="0.25">
      <c r="A48" s="17"/>
      <c r="B48" s="51" t="s">
        <v>111</v>
      </c>
      <c r="C48" s="66" t="s">
        <v>71</v>
      </c>
      <c r="D48" s="63" t="s">
        <v>20</v>
      </c>
      <c r="E48" s="3" t="s">
        <v>41</v>
      </c>
      <c r="F48" s="53">
        <v>45889</v>
      </c>
      <c r="G48" s="22"/>
      <c r="H48" s="25"/>
      <c r="I48" s="13"/>
      <c r="J48" s="25"/>
      <c r="K48" s="76"/>
      <c r="L48" s="6"/>
      <c r="M48" s="6">
        <v>1</v>
      </c>
      <c r="N48" s="35">
        <v>2</v>
      </c>
      <c r="O48" s="25"/>
      <c r="P48" s="6"/>
      <c r="Q48" s="6"/>
      <c r="R48" s="35"/>
      <c r="S48" s="13"/>
      <c r="T48" s="76"/>
      <c r="U48" s="6"/>
      <c r="V48" s="6"/>
      <c r="W48" s="6"/>
      <c r="X48" s="6"/>
      <c r="Y48" s="22">
        <f t="shared" si="0"/>
        <v>3</v>
      </c>
      <c r="Z48" s="40">
        <v>40000</v>
      </c>
    </row>
    <row r="49" spans="1:26" ht="27.65" customHeight="1" x14ac:dyDescent="0.25">
      <c r="A49" s="17"/>
      <c r="B49" s="63" t="s">
        <v>112</v>
      </c>
      <c r="C49" s="66" t="s">
        <v>71</v>
      </c>
      <c r="D49" s="63" t="s">
        <v>20</v>
      </c>
      <c r="E49" s="3" t="s">
        <v>41</v>
      </c>
      <c r="F49" s="53">
        <v>45889</v>
      </c>
      <c r="G49" s="22"/>
      <c r="H49" s="25"/>
      <c r="I49" s="13"/>
      <c r="J49" s="25"/>
      <c r="K49" s="76"/>
      <c r="L49" s="6"/>
      <c r="M49" s="35">
        <v>1</v>
      </c>
      <c r="N49" s="13"/>
      <c r="O49" s="25"/>
      <c r="P49" s="6"/>
      <c r="Q49" s="6"/>
      <c r="R49" s="35"/>
      <c r="S49" s="13"/>
      <c r="T49" s="76"/>
      <c r="U49" s="6"/>
      <c r="V49" s="6"/>
      <c r="W49" s="6"/>
      <c r="X49" s="6"/>
      <c r="Y49" s="22">
        <f t="shared" si="0"/>
        <v>1</v>
      </c>
      <c r="Z49" s="40">
        <v>40000</v>
      </c>
    </row>
    <row r="50" spans="1:26" ht="27.65" customHeight="1" x14ac:dyDescent="0.25">
      <c r="A50" s="17">
        <v>30</v>
      </c>
      <c r="B50" s="63" t="s">
        <v>68</v>
      </c>
      <c r="C50" s="63" t="s">
        <v>71</v>
      </c>
      <c r="D50" s="63" t="s">
        <v>21</v>
      </c>
      <c r="E50" s="54" t="s">
        <v>72</v>
      </c>
      <c r="F50" s="53">
        <v>45890</v>
      </c>
      <c r="G50" s="22"/>
      <c r="H50" s="25"/>
      <c r="I50" s="13"/>
      <c r="J50" s="25">
        <v>2</v>
      </c>
      <c r="K50" s="76">
        <v>3</v>
      </c>
      <c r="L50" s="6"/>
      <c r="M50" s="6"/>
      <c r="N50" s="13"/>
      <c r="O50" s="25"/>
      <c r="P50" s="6"/>
      <c r="Q50" s="6"/>
      <c r="R50" s="35"/>
      <c r="S50" s="13"/>
      <c r="T50" s="76"/>
      <c r="U50" s="6"/>
      <c r="V50" s="6"/>
      <c r="W50" s="6"/>
      <c r="X50" s="6"/>
      <c r="Y50" s="22">
        <f t="shared" si="0"/>
        <v>5</v>
      </c>
      <c r="Z50" s="40">
        <v>60000</v>
      </c>
    </row>
    <row r="51" spans="1:26" ht="27.65" customHeight="1" x14ac:dyDescent="0.25">
      <c r="A51" s="17">
        <v>31</v>
      </c>
      <c r="B51" s="63" t="s">
        <v>115</v>
      </c>
      <c r="C51" s="63" t="s">
        <v>71</v>
      </c>
      <c r="D51" s="63" t="s">
        <v>21</v>
      </c>
      <c r="E51" s="3" t="s">
        <v>72</v>
      </c>
      <c r="F51" s="53">
        <v>45890</v>
      </c>
      <c r="G51" s="22"/>
      <c r="H51" s="25"/>
      <c r="I51" s="13"/>
      <c r="J51" s="25">
        <v>3</v>
      </c>
      <c r="K51" s="76"/>
      <c r="L51" s="6">
        <v>2</v>
      </c>
      <c r="M51" s="6">
        <v>1</v>
      </c>
      <c r="N51" s="13">
        <v>1</v>
      </c>
      <c r="O51" s="25"/>
      <c r="P51" s="6"/>
      <c r="Q51" s="6"/>
      <c r="R51" s="35"/>
      <c r="S51" s="13"/>
      <c r="T51" s="76"/>
      <c r="U51" s="6"/>
      <c r="V51" s="6"/>
      <c r="W51" s="6"/>
      <c r="X51" s="6"/>
      <c r="Y51" s="22">
        <f t="shared" si="0"/>
        <v>7</v>
      </c>
      <c r="Z51" s="40">
        <v>50000</v>
      </c>
    </row>
    <row r="52" spans="1:26" ht="27.65" customHeight="1" x14ac:dyDescent="0.25">
      <c r="A52" s="17"/>
      <c r="B52" s="63" t="s">
        <v>116</v>
      </c>
      <c r="C52" s="63" t="s">
        <v>71</v>
      </c>
      <c r="D52" s="63" t="s">
        <v>20</v>
      </c>
      <c r="E52" s="3" t="s">
        <v>72</v>
      </c>
      <c r="F52" s="53">
        <v>45891</v>
      </c>
      <c r="G52" s="22"/>
      <c r="H52" s="25"/>
      <c r="I52" s="13"/>
      <c r="J52" s="25"/>
      <c r="K52" s="76"/>
      <c r="L52" s="6"/>
      <c r="M52" s="6"/>
      <c r="N52" s="13"/>
      <c r="O52" s="25"/>
      <c r="P52" s="6">
        <v>3</v>
      </c>
      <c r="Q52" s="6"/>
      <c r="R52" s="35"/>
      <c r="S52" s="13"/>
      <c r="T52" s="76"/>
      <c r="U52" s="6"/>
      <c r="V52" s="6"/>
      <c r="W52" s="6"/>
      <c r="X52" s="6"/>
      <c r="Y52" s="22">
        <f t="shared" si="0"/>
        <v>3</v>
      </c>
      <c r="Z52" s="40">
        <v>98000</v>
      </c>
    </row>
    <row r="53" spans="1:26" ht="27.65" customHeight="1" x14ac:dyDescent="0.25">
      <c r="A53" s="17"/>
      <c r="B53" s="51" t="s">
        <v>118</v>
      </c>
      <c r="C53" s="63" t="s">
        <v>71</v>
      </c>
      <c r="D53" s="63" t="s">
        <v>20</v>
      </c>
      <c r="E53" s="3" t="s">
        <v>42</v>
      </c>
      <c r="F53" s="53">
        <v>45891</v>
      </c>
      <c r="G53" s="22"/>
      <c r="H53" s="25"/>
      <c r="I53" s="13"/>
      <c r="J53" s="25"/>
      <c r="K53" s="76"/>
      <c r="L53" s="6">
        <v>2</v>
      </c>
      <c r="M53" s="6"/>
      <c r="N53" s="35"/>
      <c r="O53" s="25"/>
      <c r="P53" s="6">
        <v>3</v>
      </c>
      <c r="Q53" s="6">
        <v>1</v>
      </c>
      <c r="R53" s="6"/>
      <c r="S53" s="13"/>
      <c r="T53" s="102"/>
      <c r="U53" s="6"/>
      <c r="V53" s="6"/>
      <c r="W53" s="6"/>
      <c r="X53" s="6">
        <v>2</v>
      </c>
      <c r="Y53" s="22">
        <f t="shared" si="0"/>
        <v>8</v>
      </c>
      <c r="Z53" s="40">
        <v>35000</v>
      </c>
    </row>
    <row r="54" spans="1:26" ht="27.65" customHeight="1" x14ac:dyDescent="0.25">
      <c r="A54" s="17">
        <v>32</v>
      </c>
      <c r="B54" s="51" t="s">
        <v>118</v>
      </c>
      <c r="C54" s="63" t="s">
        <v>71</v>
      </c>
      <c r="D54" s="63" t="s">
        <v>21</v>
      </c>
      <c r="E54" s="54" t="s">
        <v>42</v>
      </c>
      <c r="F54" s="53">
        <v>45891</v>
      </c>
      <c r="G54" s="22"/>
      <c r="H54" s="25"/>
      <c r="I54" s="13"/>
      <c r="J54" s="25"/>
      <c r="K54" s="76"/>
      <c r="L54" s="6"/>
      <c r="M54" s="6"/>
      <c r="N54" s="13"/>
      <c r="O54" s="25"/>
      <c r="P54" s="6"/>
      <c r="Q54" s="6"/>
      <c r="R54" s="35"/>
      <c r="S54" s="13"/>
      <c r="T54" s="103"/>
      <c r="U54" s="38"/>
      <c r="V54" s="6"/>
      <c r="W54" s="6"/>
      <c r="X54" s="6">
        <v>1</v>
      </c>
      <c r="Y54" s="22">
        <f t="shared" si="0"/>
        <v>1</v>
      </c>
      <c r="Z54" s="40">
        <v>35000</v>
      </c>
    </row>
    <row r="55" spans="1:26" ht="27.65" customHeight="1" x14ac:dyDescent="0.25">
      <c r="A55" s="17"/>
      <c r="B55" s="51" t="s">
        <v>87</v>
      </c>
      <c r="C55" s="63" t="s">
        <v>71</v>
      </c>
      <c r="D55" s="63" t="s">
        <v>20</v>
      </c>
      <c r="E55" s="3" t="s">
        <v>41</v>
      </c>
      <c r="F55" s="53">
        <v>45891</v>
      </c>
      <c r="G55" s="22"/>
      <c r="H55" s="25"/>
      <c r="I55" s="13"/>
      <c r="J55" s="25">
        <v>1</v>
      </c>
      <c r="K55" s="76"/>
      <c r="L55" s="6"/>
      <c r="M55" s="6">
        <v>1</v>
      </c>
      <c r="N55" s="13"/>
      <c r="O55" s="25"/>
      <c r="P55" s="6"/>
      <c r="Q55" s="6"/>
      <c r="R55" s="35"/>
      <c r="S55" s="13"/>
      <c r="T55" s="76"/>
      <c r="U55" s="6"/>
      <c r="V55" s="6"/>
      <c r="W55" s="6"/>
      <c r="X55" s="6"/>
      <c r="Y55" s="22">
        <f t="shared" si="0"/>
        <v>2</v>
      </c>
      <c r="Z55" s="40">
        <v>50000</v>
      </c>
    </row>
    <row r="56" spans="1:26" ht="27.65" customHeight="1" x14ac:dyDescent="0.25">
      <c r="A56" s="17"/>
      <c r="B56" s="63" t="s">
        <v>119</v>
      </c>
      <c r="C56" s="63" t="s">
        <v>71</v>
      </c>
      <c r="D56" s="63" t="s">
        <v>20</v>
      </c>
      <c r="E56" s="54" t="s">
        <v>42</v>
      </c>
      <c r="F56" s="53">
        <v>45893</v>
      </c>
      <c r="G56" s="22"/>
      <c r="H56" s="27"/>
      <c r="I56" s="14"/>
      <c r="J56" s="25"/>
      <c r="K56" s="76"/>
      <c r="L56" s="6">
        <v>1</v>
      </c>
      <c r="M56" s="6"/>
      <c r="N56" s="13">
        <v>1</v>
      </c>
      <c r="O56" s="27"/>
      <c r="P56" s="28"/>
      <c r="Q56" s="28"/>
      <c r="R56" s="37"/>
      <c r="S56" s="13"/>
      <c r="T56" s="71"/>
      <c r="U56" s="28"/>
      <c r="V56" s="28"/>
      <c r="W56" s="28"/>
      <c r="X56" s="28"/>
      <c r="Y56" s="22">
        <f t="shared" si="0"/>
        <v>2</v>
      </c>
      <c r="Z56" s="40">
        <v>30000</v>
      </c>
    </row>
    <row r="57" spans="1:26" ht="27.65" customHeight="1" x14ac:dyDescent="0.25">
      <c r="A57" s="17"/>
      <c r="B57" s="51" t="s">
        <v>120</v>
      </c>
      <c r="C57" s="63" t="s">
        <v>71</v>
      </c>
      <c r="D57" s="63" t="s">
        <v>20</v>
      </c>
      <c r="E57" s="3" t="s">
        <v>41</v>
      </c>
      <c r="F57" s="53">
        <v>45893</v>
      </c>
      <c r="G57" s="22"/>
      <c r="H57" s="27"/>
      <c r="I57" s="14"/>
      <c r="J57" s="25">
        <v>4</v>
      </c>
      <c r="K57" s="76"/>
      <c r="L57" s="6"/>
      <c r="M57" s="6"/>
      <c r="N57" s="13"/>
      <c r="O57" s="27"/>
      <c r="P57" s="28"/>
      <c r="Q57" s="28"/>
      <c r="R57" s="37"/>
      <c r="S57" s="13"/>
      <c r="T57" s="104"/>
      <c r="U57" s="28"/>
      <c r="V57" s="28"/>
      <c r="W57" s="28"/>
      <c r="X57" s="28"/>
      <c r="Y57" s="22">
        <f t="shared" si="0"/>
        <v>4</v>
      </c>
      <c r="Z57" s="40">
        <v>40000</v>
      </c>
    </row>
    <row r="58" spans="1:26" ht="27.65" customHeight="1" x14ac:dyDescent="0.25">
      <c r="A58" s="17">
        <v>33</v>
      </c>
      <c r="B58" s="60" t="s">
        <v>48</v>
      </c>
      <c r="C58" s="63" t="s">
        <v>71</v>
      </c>
      <c r="D58" s="63" t="s">
        <v>21</v>
      </c>
      <c r="E58" s="3" t="s">
        <v>42</v>
      </c>
      <c r="F58" s="53">
        <v>45896</v>
      </c>
      <c r="G58" s="22"/>
      <c r="H58" s="27"/>
      <c r="I58" s="14"/>
      <c r="J58" s="25"/>
      <c r="K58" s="76">
        <v>1</v>
      </c>
      <c r="L58" s="6">
        <v>1</v>
      </c>
      <c r="M58" s="6"/>
      <c r="N58" s="13"/>
      <c r="O58" s="27"/>
      <c r="P58" s="28">
        <v>5</v>
      </c>
      <c r="Q58" s="28"/>
      <c r="R58" s="37"/>
      <c r="S58" s="13"/>
      <c r="T58" s="104"/>
      <c r="U58" s="28"/>
      <c r="V58" s="28"/>
      <c r="W58" s="28"/>
      <c r="X58" s="28"/>
      <c r="Y58" s="22">
        <f t="shared" si="0"/>
        <v>7</v>
      </c>
      <c r="Z58" s="40">
        <v>45000</v>
      </c>
    </row>
    <row r="59" spans="1:26" ht="27.65" customHeight="1" x14ac:dyDescent="0.25">
      <c r="A59" s="17"/>
      <c r="B59" s="63" t="s">
        <v>121</v>
      </c>
      <c r="C59" s="63" t="s">
        <v>71</v>
      </c>
      <c r="D59" s="3" t="s">
        <v>20</v>
      </c>
      <c r="E59" s="3" t="s">
        <v>41</v>
      </c>
      <c r="F59" s="67">
        <v>45897</v>
      </c>
      <c r="G59" s="22"/>
      <c r="H59" s="25"/>
      <c r="I59" s="35"/>
      <c r="J59" s="25">
        <v>2</v>
      </c>
      <c r="K59" s="76"/>
      <c r="L59" s="6">
        <v>1</v>
      </c>
      <c r="M59" s="6">
        <v>2</v>
      </c>
      <c r="N59" s="35"/>
      <c r="O59" s="25"/>
      <c r="P59" s="6"/>
      <c r="Q59" s="6"/>
      <c r="R59" s="6"/>
      <c r="S59" s="13"/>
      <c r="T59" s="76"/>
      <c r="U59" s="6"/>
      <c r="V59" s="6"/>
      <c r="W59" s="6"/>
      <c r="X59" s="6"/>
      <c r="Y59" s="22">
        <f t="shared" si="0"/>
        <v>5</v>
      </c>
      <c r="Z59" s="40">
        <v>98000</v>
      </c>
    </row>
    <row r="60" spans="1:26" ht="27.65" customHeight="1" x14ac:dyDescent="0.25">
      <c r="A60" s="17"/>
      <c r="B60" s="63" t="s">
        <v>122</v>
      </c>
      <c r="C60" s="63" t="s">
        <v>71</v>
      </c>
      <c r="D60" s="51" t="s">
        <v>20</v>
      </c>
      <c r="E60" s="3" t="s">
        <v>84</v>
      </c>
      <c r="F60" s="53">
        <v>45898</v>
      </c>
      <c r="G60" s="22"/>
      <c r="H60" s="25"/>
      <c r="I60" s="35"/>
      <c r="J60" s="25">
        <v>1</v>
      </c>
      <c r="K60" s="76"/>
      <c r="L60" s="6"/>
      <c r="M60" s="6"/>
      <c r="N60" s="35"/>
      <c r="O60" s="25"/>
      <c r="P60" s="6"/>
      <c r="Q60" s="6"/>
      <c r="R60" s="6"/>
      <c r="S60" s="13"/>
      <c r="T60" s="102"/>
      <c r="U60" s="6"/>
      <c r="V60" s="6"/>
      <c r="W60" s="6"/>
      <c r="X60" s="6"/>
      <c r="Y60" s="22">
        <f t="shared" si="0"/>
        <v>1</v>
      </c>
      <c r="Z60" s="40">
        <v>75000</v>
      </c>
    </row>
    <row r="61" spans="1:26" ht="27.65" customHeight="1" x14ac:dyDescent="0.25">
      <c r="A61" s="17"/>
      <c r="B61" s="3" t="s">
        <v>123</v>
      </c>
      <c r="C61" s="63" t="s">
        <v>71</v>
      </c>
      <c r="D61" s="3" t="s">
        <v>20</v>
      </c>
      <c r="E61" s="3" t="s">
        <v>41</v>
      </c>
      <c r="F61" s="53">
        <v>45898</v>
      </c>
      <c r="G61" s="22"/>
      <c r="H61" s="25"/>
      <c r="I61" s="35"/>
      <c r="J61" s="25">
        <v>1</v>
      </c>
      <c r="K61" s="76">
        <v>4</v>
      </c>
      <c r="L61" s="6">
        <v>3</v>
      </c>
      <c r="M61" s="6">
        <v>5</v>
      </c>
      <c r="N61" s="35">
        <v>2</v>
      </c>
      <c r="O61" s="25"/>
      <c r="P61" s="6"/>
      <c r="Q61" s="6"/>
      <c r="R61" s="6"/>
      <c r="S61" s="13">
        <v>1</v>
      </c>
      <c r="T61" s="76"/>
      <c r="U61" s="6"/>
      <c r="V61" s="6"/>
      <c r="W61" s="6"/>
      <c r="X61" s="6"/>
      <c r="Y61" s="22">
        <f t="shared" si="0"/>
        <v>16</v>
      </c>
      <c r="Z61" s="40">
        <v>30000</v>
      </c>
    </row>
    <row r="62" spans="1:26" ht="27.65" customHeight="1" x14ac:dyDescent="0.25">
      <c r="A62" s="17"/>
      <c r="B62" s="63" t="s">
        <v>124</v>
      </c>
      <c r="C62" s="63" t="s">
        <v>71</v>
      </c>
      <c r="D62" s="63" t="s">
        <v>20</v>
      </c>
      <c r="E62" s="3" t="s">
        <v>44</v>
      </c>
      <c r="F62" s="67">
        <v>45898</v>
      </c>
      <c r="G62" s="22"/>
      <c r="H62" s="25"/>
      <c r="I62" s="35"/>
      <c r="J62" s="25">
        <v>3</v>
      </c>
      <c r="K62" s="76"/>
      <c r="L62" s="6">
        <v>8</v>
      </c>
      <c r="M62" s="6">
        <v>5</v>
      </c>
      <c r="N62" s="35">
        <v>1</v>
      </c>
      <c r="O62" s="25"/>
      <c r="P62" s="6">
        <v>1</v>
      </c>
      <c r="Q62" s="6"/>
      <c r="R62" s="6"/>
      <c r="S62" s="13"/>
      <c r="T62" s="76"/>
      <c r="U62" s="6"/>
      <c r="V62" s="6"/>
      <c r="W62" s="6"/>
      <c r="X62" s="6"/>
      <c r="Y62" s="22">
        <f t="shared" si="0"/>
        <v>18</v>
      </c>
      <c r="Z62" s="40">
        <v>86000</v>
      </c>
    </row>
    <row r="63" spans="1:26" ht="27.65" customHeight="1" x14ac:dyDescent="0.25">
      <c r="A63" s="17"/>
      <c r="B63" s="63" t="s">
        <v>125</v>
      </c>
      <c r="C63" s="63" t="s">
        <v>71</v>
      </c>
      <c r="D63" s="63" t="s">
        <v>20</v>
      </c>
      <c r="E63" s="3" t="s">
        <v>44</v>
      </c>
      <c r="F63" s="67">
        <v>45898</v>
      </c>
      <c r="G63" s="22"/>
      <c r="H63" s="25"/>
      <c r="I63" s="35"/>
      <c r="J63" s="25">
        <v>1</v>
      </c>
      <c r="K63" s="76">
        <v>1</v>
      </c>
      <c r="L63" s="6">
        <v>2</v>
      </c>
      <c r="M63" s="6">
        <v>3</v>
      </c>
      <c r="N63" s="35">
        <v>2</v>
      </c>
      <c r="O63" s="25"/>
      <c r="P63" s="6"/>
      <c r="Q63" s="6">
        <v>1</v>
      </c>
      <c r="R63" s="6">
        <v>1</v>
      </c>
      <c r="S63" s="13">
        <v>2</v>
      </c>
      <c r="T63" s="76"/>
      <c r="U63" s="6"/>
      <c r="V63" s="6"/>
      <c r="W63" s="6">
        <v>2</v>
      </c>
      <c r="X63" s="6">
        <v>1</v>
      </c>
      <c r="Y63" s="22">
        <f t="shared" si="0"/>
        <v>16</v>
      </c>
      <c r="Z63" s="40">
        <v>86000</v>
      </c>
    </row>
    <row r="64" spans="1:26" ht="27.65" customHeight="1" x14ac:dyDescent="0.25">
      <c r="A64" s="17">
        <v>34</v>
      </c>
      <c r="B64" s="63" t="s">
        <v>126</v>
      </c>
      <c r="C64" s="63" t="s">
        <v>71</v>
      </c>
      <c r="D64" s="63" t="s">
        <v>21</v>
      </c>
      <c r="E64" s="69" t="s">
        <v>41</v>
      </c>
      <c r="F64" s="67">
        <v>45899</v>
      </c>
      <c r="G64" s="22"/>
      <c r="H64" s="25"/>
      <c r="I64" s="13"/>
      <c r="J64" s="25"/>
      <c r="K64" s="76">
        <v>2</v>
      </c>
      <c r="L64" s="6"/>
      <c r="M64" s="35"/>
      <c r="N64" s="13">
        <v>1</v>
      </c>
      <c r="O64" s="25"/>
      <c r="P64" s="6"/>
      <c r="Q64" s="6"/>
      <c r="R64" s="35"/>
      <c r="S64" s="13"/>
      <c r="T64" s="76"/>
      <c r="U64" s="6"/>
      <c r="V64" s="6"/>
      <c r="W64" s="6"/>
      <c r="X64" s="6"/>
      <c r="Y64" s="22">
        <f t="shared" si="0"/>
        <v>3</v>
      </c>
      <c r="Z64" s="40">
        <v>45000</v>
      </c>
    </row>
    <row r="65" spans="1:26" ht="27.65" customHeight="1" x14ac:dyDescent="0.25">
      <c r="A65" s="17">
        <v>35</v>
      </c>
      <c r="B65" s="63" t="s">
        <v>128</v>
      </c>
      <c r="C65" s="63" t="s">
        <v>71</v>
      </c>
      <c r="D65" s="63" t="s">
        <v>21</v>
      </c>
      <c r="E65" s="69" t="s">
        <v>41</v>
      </c>
      <c r="F65" s="67">
        <v>45901</v>
      </c>
      <c r="G65" s="22"/>
      <c r="H65" s="25"/>
      <c r="I65" s="13"/>
      <c r="J65" s="25"/>
      <c r="K65" s="76"/>
      <c r="L65" s="6"/>
      <c r="M65" s="35"/>
      <c r="N65" s="13"/>
      <c r="O65" s="25"/>
      <c r="P65" s="6"/>
      <c r="Q65" s="6"/>
      <c r="R65" s="35"/>
      <c r="S65" s="13"/>
      <c r="T65" s="76"/>
      <c r="U65" s="6"/>
      <c r="V65" s="6"/>
      <c r="W65" s="6"/>
      <c r="X65" s="6"/>
      <c r="Y65" s="22">
        <f t="shared" si="0"/>
        <v>0</v>
      </c>
      <c r="Z65" s="40"/>
    </row>
    <row r="66" spans="1:26" ht="27.65" customHeight="1" x14ac:dyDescent="0.25">
      <c r="A66" s="17"/>
      <c r="B66" s="63" t="s">
        <v>127</v>
      </c>
      <c r="C66" s="63" t="s">
        <v>71</v>
      </c>
      <c r="D66" s="63" t="s">
        <v>20</v>
      </c>
      <c r="E66" s="69" t="s">
        <v>43</v>
      </c>
      <c r="F66" s="67">
        <v>45901</v>
      </c>
      <c r="G66" s="22"/>
      <c r="H66" s="25"/>
      <c r="I66" s="13"/>
      <c r="J66" s="25">
        <v>1</v>
      </c>
      <c r="K66" s="76">
        <v>2</v>
      </c>
      <c r="L66" s="6">
        <v>1</v>
      </c>
      <c r="M66" s="35">
        <v>1</v>
      </c>
      <c r="N66" s="13">
        <v>3</v>
      </c>
      <c r="O66" s="25"/>
      <c r="P66" s="6"/>
      <c r="Q66" s="6"/>
      <c r="R66" s="35">
        <v>1</v>
      </c>
      <c r="S66" s="13"/>
      <c r="T66" s="76"/>
      <c r="U66" s="6"/>
      <c r="V66" s="6"/>
      <c r="W66" s="6">
        <v>1</v>
      </c>
      <c r="X66" s="6"/>
      <c r="Y66" s="22">
        <f t="shared" ref="Y66:Y67" si="1">SUM(G66:X66)</f>
        <v>10</v>
      </c>
      <c r="Z66" s="40">
        <v>42400</v>
      </c>
    </row>
    <row r="67" spans="1:26" ht="27.65" customHeight="1" x14ac:dyDescent="0.25">
      <c r="A67" s="17">
        <v>36</v>
      </c>
      <c r="B67" s="63" t="s">
        <v>129</v>
      </c>
      <c r="C67" s="63" t="s">
        <v>71</v>
      </c>
      <c r="D67" s="63" t="s">
        <v>20</v>
      </c>
      <c r="E67" s="54" t="s">
        <v>41</v>
      </c>
      <c r="F67" s="53">
        <v>45901</v>
      </c>
      <c r="G67" s="22"/>
      <c r="H67" s="27"/>
      <c r="I67" s="14"/>
      <c r="J67" s="25">
        <v>2</v>
      </c>
      <c r="K67" s="76">
        <v>1</v>
      </c>
      <c r="L67" s="6"/>
      <c r="M67" s="35">
        <v>1</v>
      </c>
      <c r="N67" s="13">
        <v>3</v>
      </c>
      <c r="O67" s="27"/>
      <c r="P67" s="28"/>
      <c r="Q67" s="28"/>
      <c r="R67" s="37"/>
      <c r="S67" s="13"/>
      <c r="T67" s="71"/>
      <c r="U67" s="28"/>
      <c r="V67" s="28"/>
      <c r="W67" s="28"/>
      <c r="X67" s="28"/>
      <c r="Y67" s="22">
        <f t="shared" si="1"/>
        <v>7</v>
      </c>
      <c r="Z67" s="40">
        <v>50000</v>
      </c>
    </row>
    <row r="68" spans="1:26" ht="27.65" customHeight="1" x14ac:dyDescent="0.25">
      <c r="A68" s="17"/>
      <c r="B68" s="63" t="s">
        <v>131</v>
      </c>
      <c r="C68" s="63" t="s">
        <v>71</v>
      </c>
      <c r="D68" s="3" t="s">
        <v>20</v>
      </c>
      <c r="E68" s="3" t="s">
        <v>42</v>
      </c>
      <c r="F68" s="53">
        <v>45904</v>
      </c>
      <c r="G68" s="22"/>
      <c r="H68" s="25"/>
      <c r="I68" s="35"/>
      <c r="J68" s="25"/>
      <c r="K68" s="76">
        <v>1</v>
      </c>
      <c r="L68" s="6">
        <v>1</v>
      </c>
      <c r="M68" s="6"/>
      <c r="N68" s="35"/>
      <c r="O68" s="25"/>
      <c r="P68" s="6">
        <v>1</v>
      </c>
      <c r="Q68" s="6">
        <v>1</v>
      </c>
      <c r="R68" s="6"/>
      <c r="S68" s="13"/>
      <c r="T68" s="102"/>
      <c r="U68" s="6"/>
      <c r="V68" s="6"/>
      <c r="W68" s="6">
        <v>1</v>
      </c>
      <c r="X68" s="6"/>
      <c r="Y68" s="22">
        <f t="shared" si="0"/>
        <v>5</v>
      </c>
      <c r="Z68" s="40">
        <v>40000</v>
      </c>
    </row>
    <row r="69" spans="1:26" ht="27.65" customHeight="1" x14ac:dyDescent="0.25">
      <c r="A69" s="17"/>
      <c r="B69" s="66" t="s">
        <v>132</v>
      </c>
      <c r="C69" s="63" t="s">
        <v>71</v>
      </c>
      <c r="D69" s="51" t="s">
        <v>20</v>
      </c>
      <c r="E69" s="3" t="s">
        <v>42</v>
      </c>
      <c r="F69" s="53">
        <v>45904</v>
      </c>
      <c r="G69" s="22"/>
      <c r="H69" s="25"/>
      <c r="I69" s="35"/>
      <c r="J69" s="25"/>
      <c r="K69" s="76"/>
      <c r="L69" s="6"/>
      <c r="M69" s="6"/>
      <c r="N69" s="35"/>
      <c r="O69" s="25"/>
      <c r="P69" s="6">
        <v>1</v>
      </c>
      <c r="Q69" s="6"/>
      <c r="R69" s="6"/>
      <c r="S69" s="13"/>
      <c r="T69" s="102"/>
      <c r="U69" s="6"/>
      <c r="V69" s="6"/>
      <c r="W69" s="6"/>
      <c r="X69" s="6"/>
      <c r="Y69" s="22">
        <f t="shared" si="0"/>
        <v>1</v>
      </c>
      <c r="Z69" s="40">
        <v>40000</v>
      </c>
    </row>
    <row r="70" spans="1:26" ht="27.65" customHeight="1" x14ac:dyDescent="0.25">
      <c r="A70" s="17">
        <v>37</v>
      </c>
      <c r="B70" s="63" t="s">
        <v>133</v>
      </c>
      <c r="C70" s="63" t="s">
        <v>71</v>
      </c>
      <c r="D70" s="63" t="s">
        <v>21</v>
      </c>
      <c r="E70" s="3" t="s">
        <v>42</v>
      </c>
      <c r="F70" s="53">
        <v>45905</v>
      </c>
      <c r="G70" s="22"/>
      <c r="H70" s="25"/>
      <c r="I70" s="13">
        <v>2</v>
      </c>
      <c r="J70" s="25">
        <v>5</v>
      </c>
      <c r="K70" s="76"/>
      <c r="L70" s="6"/>
      <c r="M70" s="35">
        <v>6</v>
      </c>
      <c r="N70" s="13"/>
      <c r="O70" s="25"/>
      <c r="P70" s="6">
        <v>5</v>
      </c>
      <c r="Q70" s="6">
        <v>4</v>
      </c>
      <c r="R70" s="35">
        <v>2</v>
      </c>
      <c r="S70" s="13"/>
      <c r="T70" s="76"/>
      <c r="U70" s="6"/>
      <c r="V70" s="6"/>
      <c r="W70" s="6">
        <v>1</v>
      </c>
      <c r="X70" s="6"/>
      <c r="Y70" s="22">
        <f t="shared" si="0"/>
        <v>25</v>
      </c>
      <c r="Z70" s="40">
        <v>30000</v>
      </c>
    </row>
    <row r="71" spans="1:26" ht="27.65" customHeight="1" x14ac:dyDescent="0.25">
      <c r="A71" s="17"/>
      <c r="B71" s="63" t="s">
        <v>134</v>
      </c>
      <c r="C71" s="63" t="s">
        <v>71</v>
      </c>
      <c r="D71" s="63" t="s">
        <v>20</v>
      </c>
      <c r="E71" s="54" t="s">
        <v>41</v>
      </c>
      <c r="F71" s="53">
        <v>45905</v>
      </c>
      <c r="G71" s="22"/>
      <c r="H71" s="27"/>
      <c r="I71" s="14"/>
      <c r="J71" s="25">
        <v>2</v>
      </c>
      <c r="K71" s="76">
        <v>1</v>
      </c>
      <c r="L71" s="6"/>
      <c r="M71" s="6"/>
      <c r="N71" s="13"/>
      <c r="O71" s="27"/>
      <c r="P71" s="28"/>
      <c r="Q71" s="28"/>
      <c r="R71" s="37"/>
      <c r="S71" s="13"/>
      <c r="T71" s="104"/>
      <c r="U71" s="28"/>
      <c r="V71" s="28"/>
      <c r="W71" s="28"/>
      <c r="X71" s="28"/>
      <c r="Y71" s="22">
        <f t="shared" ref="Y71:Y135" si="2">SUM(G71:X71)</f>
        <v>3</v>
      </c>
      <c r="Z71" s="40">
        <v>50000</v>
      </c>
    </row>
    <row r="72" spans="1:26" ht="27.65" customHeight="1" x14ac:dyDescent="0.25">
      <c r="A72" s="17">
        <v>38</v>
      </c>
      <c r="B72" s="63" t="s">
        <v>137</v>
      </c>
      <c r="C72" s="63" t="s">
        <v>71</v>
      </c>
      <c r="D72" s="63" t="s">
        <v>21</v>
      </c>
      <c r="E72" s="3" t="s">
        <v>73</v>
      </c>
      <c r="F72" s="53">
        <v>45908</v>
      </c>
      <c r="G72" s="22"/>
      <c r="H72" s="25"/>
      <c r="I72" s="13"/>
      <c r="J72" s="25"/>
      <c r="K72" s="76">
        <v>2</v>
      </c>
      <c r="L72" s="6">
        <v>1</v>
      </c>
      <c r="M72" s="35">
        <v>1</v>
      </c>
      <c r="N72" s="13"/>
      <c r="O72" s="25"/>
      <c r="P72" s="6">
        <v>1</v>
      </c>
      <c r="Q72" s="6"/>
      <c r="R72" s="35"/>
      <c r="S72" s="13">
        <v>1</v>
      </c>
      <c r="T72" s="76">
        <v>1</v>
      </c>
      <c r="U72" s="6"/>
      <c r="V72" s="6"/>
      <c r="W72" s="6"/>
      <c r="X72" s="6">
        <v>2</v>
      </c>
      <c r="Y72" s="22">
        <f t="shared" si="2"/>
        <v>9</v>
      </c>
      <c r="Z72" s="40">
        <v>70000</v>
      </c>
    </row>
    <row r="73" spans="1:26" ht="27.65" customHeight="1" x14ac:dyDescent="0.25">
      <c r="A73" s="17">
        <v>39</v>
      </c>
      <c r="B73" s="63" t="s">
        <v>138</v>
      </c>
      <c r="C73" s="63" t="s">
        <v>71</v>
      </c>
      <c r="D73" s="63" t="s">
        <v>21</v>
      </c>
      <c r="E73" s="54" t="s">
        <v>41</v>
      </c>
      <c r="F73" s="53">
        <v>45908</v>
      </c>
      <c r="G73" s="22"/>
      <c r="H73" s="25"/>
      <c r="I73" s="13"/>
      <c r="J73" s="25">
        <v>1</v>
      </c>
      <c r="K73" s="76">
        <v>2</v>
      </c>
      <c r="L73" s="6">
        <v>1</v>
      </c>
      <c r="M73" s="35"/>
      <c r="N73" s="13"/>
      <c r="O73" s="25"/>
      <c r="P73" s="6"/>
      <c r="Q73" s="6"/>
      <c r="R73" s="35"/>
      <c r="S73" s="13"/>
      <c r="T73" s="76"/>
      <c r="U73" s="6"/>
      <c r="V73" s="6"/>
      <c r="W73" s="6"/>
      <c r="X73" s="6"/>
      <c r="Y73" s="22">
        <f t="shared" si="2"/>
        <v>4</v>
      </c>
      <c r="Z73" s="40">
        <v>45000</v>
      </c>
    </row>
    <row r="74" spans="1:26" ht="27.65" customHeight="1" x14ac:dyDescent="0.25">
      <c r="A74" s="17"/>
      <c r="B74" s="63" t="s">
        <v>136</v>
      </c>
      <c r="C74" s="63" t="s">
        <v>71</v>
      </c>
      <c r="D74" s="63" t="s">
        <v>20</v>
      </c>
      <c r="E74" s="62" t="s">
        <v>41</v>
      </c>
      <c r="F74" s="53">
        <v>45909</v>
      </c>
      <c r="G74" s="22"/>
      <c r="H74" s="27"/>
      <c r="I74" s="14"/>
      <c r="J74" s="25">
        <v>1</v>
      </c>
      <c r="K74" s="76"/>
      <c r="L74" s="6">
        <v>1</v>
      </c>
      <c r="M74" s="6">
        <v>1</v>
      </c>
      <c r="N74" s="13"/>
      <c r="O74" s="27"/>
      <c r="P74" s="28"/>
      <c r="Q74" s="28"/>
      <c r="R74" s="37"/>
      <c r="S74" s="13">
        <v>1</v>
      </c>
      <c r="T74" s="105"/>
      <c r="U74" s="39"/>
      <c r="V74" s="28"/>
      <c r="W74" s="28"/>
      <c r="X74" s="28"/>
      <c r="Y74" s="22">
        <f t="shared" si="2"/>
        <v>4</v>
      </c>
      <c r="Z74" s="40">
        <v>80000</v>
      </c>
    </row>
    <row r="75" spans="1:26" ht="27.65" customHeight="1" x14ac:dyDescent="0.25">
      <c r="A75" s="17"/>
      <c r="B75" s="63" t="s">
        <v>140</v>
      </c>
      <c r="C75" s="63" t="s">
        <v>71</v>
      </c>
      <c r="D75" s="63" t="s">
        <v>20</v>
      </c>
      <c r="E75" s="3" t="s">
        <v>43</v>
      </c>
      <c r="F75" s="53">
        <v>45909</v>
      </c>
      <c r="G75" s="22"/>
      <c r="H75" s="25"/>
      <c r="I75" s="13"/>
      <c r="J75" s="25">
        <v>2</v>
      </c>
      <c r="K75" s="76">
        <v>6</v>
      </c>
      <c r="L75" s="6">
        <v>9</v>
      </c>
      <c r="M75" s="6">
        <v>8</v>
      </c>
      <c r="N75" s="35">
        <v>1</v>
      </c>
      <c r="O75" s="25"/>
      <c r="P75" s="6">
        <v>10</v>
      </c>
      <c r="Q75" s="6">
        <v>2</v>
      </c>
      <c r="R75" s="6">
        <v>3</v>
      </c>
      <c r="S75" s="13">
        <v>2</v>
      </c>
      <c r="T75" s="76"/>
      <c r="U75" s="6"/>
      <c r="V75" s="6">
        <v>1</v>
      </c>
      <c r="W75" s="6">
        <v>1</v>
      </c>
      <c r="X75" s="6">
        <v>2</v>
      </c>
      <c r="Y75" s="22">
        <f t="shared" si="2"/>
        <v>47</v>
      </c>
      <c r="Z75" s="40">
        <v>25000</v>
      </c>
    </row>
    <row r="76" spans="1:26" ht="27.65" customHeight="1" x14ac:dyDescent="0.25">
      <c r="A76" s="17">
        <v>40</v>
      </c>
      <c r="B76" s="63" t="s">
        <v>153</v>
      </c>
      <c r="C76" s="63" t="s">
        <v>71</v>
      </c>
      <c r="D76" s="63" t="s">
        <v>21</v>
      </c>
      <c r="E76" s="54" t="s">
        <v>41</v>
      </c>
      <c r="F76" s="53">
        <v>45911</v>
      </c>
      <c r="G76" s="22"/>
      <c r="H76" s="25"/>
      <c r="I76" s="13"/>
      <c r="J76" s="25"/>
      <c r="K76" s="76"/>
      <c r="L76" s="6"/>
      <c r="M76" s="6"/>
      <c r="N76" s="13">
        <v>2</v>
      </c>
      <c r="O76" s="27"/>
      <c r="P76" s="28"/>
      <c r="Q76" s="28"/>
      <c r="R76" s="37"/>
      <c r="S76" s="13"/>
      <c r="T76" s="105"/>
      <c r="U76" s="39"/>
      <c r="V76" s="28"/>
      <c r="W76" s="28"/>
      <c r="X76" s="28"/>
      <c r="Y76" s="22">
        <f t="shared" si="2"/>
        <v>2</v>
      </c>
      <c r="Z76" s="40">
        <v>98000</v>
      </c>
    </row>
    <row r="77" spans="1:26" ht="27.65" customHeight="1" x14ac:dyDescent="0.25">
      <c r="A77" s="17"/>
      <c r="B77" s="133" t="s">
        <v>145</v>
      </c>
      <c r="C77" s="63" t="s">
        <v>71</v>
      </c>
      <c r="D77" s="63" t="s">
        <v>20</v>
      </c>
      <c r="E77" s="3" t="s">
        <v>41</v>
      </c>
      <c r="F77" s="53">
        <v>45911</v>
      </c>
      <c r="G77" s="22"/>
      <c r="H77" s="25"/>
      <c r="I77" s="13"/>
      <c r="J77" s="25"/>
      <c r="K77" s="76">
        <v>1</v>
      </c>
      <c r="L77" s="6"/>
      <c r="M77" s="6"/>
      <c r="N77" s="13"/>
      <c r="O77" s="27"/>
      <c r="P77" s="28"/>
      <c r="Q77" s="28"/>
      <c r="R77" s="37"/>
      <c r="S77" s="13"/>
      <c r="T77" s="105"/>
      <c r="U77" s="39"/>
      <c r="V77" s="28"/>
      <c r="W77" s="28"/>
      <c r="X77" s="28"/>
      <c r="Y77" s="22">
        <f t="shared" si="2"/>
        <v>1</v>
      </c>
      <c r="Z77" s="40">
        <v>110000</v>
      </c>
    </row>
    <row r="78" spans="1:26" ht="27.65" customHeight="1" x14ac:dyDescent="0.25">
      <c r="A78" s="17"/>
      <c r="B78" s="63" t="s">
        <v>143</v>
      </c>
      <c r="C78" s="63" t="s">
        <v>71</v>
      </c>
      <c r="D78" s="63" t="s">
        <v>20</v>
      </c>
      <c r="E78" s="54" t="s">
        <v>44</v>
      </c>
      <c r="F78" s="53">
        <v>45911</v>
      </c>
      <c r="G78" s="22"/>
      <c r="H78" s="25"/>
      <c r="I78" s="13"/>
      <c r="J78" s="25"/>
      <c r="K78" s="76">
        <v>2</v>
      </c>
      <c r="L78" s="6"/>
      <c r="M78" s="6"/>
      <c r="N78" s="13"/>
      <c r="O78" s="27"/>
      <c r="P78" s="28"/>
      <c r="Q78" s="28"/>
      <c r="R78" s="37"/>
      <c r="S78" s="13"/>
      <c r="T78" s="105"/>
      <c r="U78" s="39"/>
      <c r="V78" s="28"/>
      <c r="W78" s="28"/>
      <c r="X78" s="28"/>
      <c r="Y78" s="22">
        <f t="shared" si="2"/>
        <v>2</v>
      </c>
      <c r="Z78" s="40">
        <v>42000</v>
      </c>
    </row>
    <row r="79" spans="1:26" ht="27.65" customHeight="1" x14ac:dyDescent="0.25">
      <c r="A79" s="17">
        <v>41</v>
      </c>
      <c r="B79" s="63" t="s">
        <v>144</v>
      </c>
      <c r="C79" s="63" t="s">
        <v>71</v>
      </c>
      <c r="D79" s="63" t="s">
        <v>21</v>
      </c>
      <c r="E79" s="54" t="s">
        <v>41</v>
      </c>
      <c r="F79" s="53">
        <v>45911</v>
      </c>
      <c r="G79" s="22"/>
      <c r="H79" s="25"/>
      <c r="I79" s="13"/>
      <c r="J79" s="25">
        <v>1</v>
      </c>
      <c r="K79" s="76"/>
      <c r="L79" s="6"/>
      <c r="M79" s="6"/>
      <c r="N79" s="13"/>
      <c r="O79" s="27"/>
      <c r="P79" s="28"/>
      <c r="Q79" s="28"/>
      <c r="R79" s="37"/>
      <c r="S79" s="13"/>
      <c r="T79" s="105"/>
      <c r="U79" s="39"/>
      <c r="V79" s="28"/>
      <c r="W79" s="28"/>
      <c r="X79" s="28"/>
      <c r="Y79" s="22">
        <f t="shared" si="2"/>
        <v>1</v>
      </c>
      <c r="Z79" s="40">
        <v>35000</v>
      </c>
    </row>
    <row r="80" spans="1:26" ht="27.65" customHeight="1" x14ac:dyDescent="0.25">
      <c r="A80" s="17">
        <v>42</v>
      </c>
      <c r="B80" s="63" t="s">
        <v>147</v>
      </c>
      <c r="C80" s="63" t="s">
        <v>71</v>
      </c>
      <c r="D80" s="63" t="s">
        <v>21</v>
      </c>
      <c r="E80" s="3" t="s">
        <v>42</v>
      </c>
      <c r="F80" s="53">
        <v>45912</v>
      </c>
      <c r="G80" s="22"/>
      <c r="H80" s="25"/>
      <c r="I80" s="35"/>
      <c r="J80" s="25"/>
      <c r="K80" s="76"/>
      <c r="L80" s="6"/>
      <c r="M80" s="6"/>
      <c r="N80" s="35"/>
      <c r="O80" s="25"/>
      <c r="P80" s="6"/>
      <c r="Q80" s="6"/>
      <c r="R80" s="6"/>
      <c r="S80" s="13"/>
      <c r="T80" s="103"/>
      <c r="U80" s="38"/>
      <c r="V80" s="6">
        <v>1</v>
      </c>
      <c r="W80" s="6"/>
      <c r="X80" s="6">
        <v>3</v>
      </c>
      <c r="Y80" s="22">
        <f t="shared" si="2"/>
        <v>4</v>
      </c>
      <c r="Z80" s="40">
        <v>25000</v>
      </c>
    </row>
    <row r="81" spans="1:26" ht="27.65" customHeight="1" x14ac:dyDescent="0.25">
      <c r="A81" s="17"/>
      <c r="B81" s="63" t="s">
        <v>146</v>
      </c>
      <c r="C81" s="63" t="s">
        <v>71</v>
      </c>
      <c r="D81" s="63" t="s">
        <v>20</v>
      </c>
      <c r="E81" s="3" t="s">
        <v>42</v>
      </c>
      <c r="F81" s="53">
        <v>45916</v>
      </c>
      <c r="G81" s="22"/>
      <c r="H81" s="25"/>
      <c r="I81" s="35"/>
      <c r="J81" s="25"/>
      <c r="K81" s="76"/>
      <c r="L81" s="6"/>
      <c r="M81" s="6"/>
      <c r="N81" s="35"/>
      <c r="O81" s="25"/>
      <c r="P81" s="6">
        <v>3</v>
      </c>
      <c r="Q81" s="6"/>
      <c r="R81" s="6">
        <v>4</v>
      </c>
      <c r="S81" s="13">
        <v>1</v>
      </c>
      <c r="T81" s="103">
        <v>3</v>
      </c>
      <c r="U81" s="38"/>
      <c r="V81" s="6"/>
      <c r="W81" s="6">
        <v>1</v>
      </c>
      <c r="X81" s="6"/>
      <c r="Y81" s="22">
        <f t="shared" si="2"/>
        <v>12</v>
      </c>
      <c r="Z81" s="40">
        <v>50000</v>
      </c>
    </row>
    <row r="82" spans="1:26" ht="27.65" customHeight="1" x14ac:dyDescent="0.25">
      <c r="A82" s="17">
        <v>43</v>
      </c>
      <c r="B82" s="63" t="s">
        <v>150</v>
      </c>
      <c r="C82" s="63" t="s">
        <v>71</v>
      </c>
      <c r="D82" s="63" t="s">
        <v>21</v>
      </c>
      <c r="E82" s="3" t="s">
        <v>41</v>
      </c>
      <c r="F82" s="53">
        <v>45916</v>
      </c>
      <c r="G82" s="22"/>
      <c r="H82" s="25"/>
      <c r="I82" s="13"/>
      <c r="J82" s="25">
        <v>1</v>
      </c>
      <c r="K82" s="76"/>
      <c r="L82" s="6"/>
      <c r="M82" s="35"/>
      <c r="N82" s="13"/>
      <c r="O82" s="25"/>
      <c r="P82" s="6"/>
      <c r="Q82" s="6"/>
      <c r="R82" s="35"/>
      <c r="S82" s="13"/>
      <c r="T82" s="76"/>
      <c r="U82" s="6"/>
      <c r="V82" s="6"/>
      <c r="W82" s="6"/>
      <c r="X82" s="6"/>
      <c r="Y82" s="22">
        <f t="shared" si="2"/>
        <v>1</v>
      </c>
      <c r="Z82" s="40">
        <v>70000</v>
      </c>
    </row>
    <row r="83" spans="1:26" ht="27.65" customHeight="1" x14ac:dyDescent="0.25">
      <c r="A83" s="17">
        <v>44</v>
      </c>
      <c r="B83" s="51" t="s">
        <v>151</v>
      </c>
      <c r="C83" s="63" t="s">
        <v>71</v>
      </c>
      <c r="D83" s="51" t="s">
        <v>21</v>
      </c>
      <c r="E83" s="3" t="s">
        <v>42</v>
      </c>
      <c r="F83" s="53">
        <v>45919</v>
      </c>
      <c r="G83" s="22"/>
      <c r="H83" s="27"/>
      <c r="I83" s="14"/>
      <c r="J83" s="25"/>
      <c r="K83" s="76">
        <v>1</v>
      </c>
      <c r="L83" s="6"/>
      <c r="M83" s="6"/>
      <c r="N83" s="13"/>
      <c r="O83" s="27"/>
      <c r="P83" s="28">
        <v>2</v>
      </c>
      <c r="Q83" s="28"/>
      <c r="R83" s="37"/>
      <c r="S83" s="13"/>
      <c r="T83" s="104"/>
      <c r="U83" s="28"/>
      <c r="V83" s="28"/>
      <c r="W83" s="28"/>
      <c r="X83" s="28"/>
      <c r="Y83" s="22">
        <f t="shared" si="2"/>
        <v>3</v>
      </c>
      <c r="Z83" s="40">
        <v>43000</v>
      </c>
    </row>
    <row r="84" spans="1:26" ht="27.65" customHeight="1" x14ac:dyDescent="0.25">
      <c r="A84" s="17"/>
      <c r="B84" s="63" t="s">
        <v>89</v>
      </c>
      <c r="C84" s="63" t="s">
        <v>71</v>
      </c>
      <c r="D84" s="63" t="s">
        <v>20</v>
      </c>
      <c r="E84" s="54" t="s">
        <v>42</v>
      </c>
      <c r="F84" s="53">
        <v>45920</v>
      </c>
      <c r="G84" s="22"/>
      <c r="H84" s="27"/>
      <c r="I84" s="37"/>
      <c r="J84" s="25"/>
      <c r="K84" s="76"/>
      <c r="L84" s="6"/>
      <c r="M84" s="6"/>
      <c r="N84" s="35"/>
      <c r="O84" s="25"/>
      <c r="P84" s="6"/>
      <c r="Q84" s="6"/>
      <c r="R84" s="6"/>
      <c r="S84" s="13"/>
      <c r="T84" s="71"/>
      <c r="U84" s="28"/>
      <c r="V84" s="28"/>
      <c r="W84" s="28">
        <v>1</v>
      </c>
      <c r="X84" s="28">
        <v>2</v>
      </c>
      <c r="Y84" s="22">
        <f t="shared" si="2"/>
        <v>3</v>
      </c>
      <c r="Z84" s="40">
        <v>25000</v>
      </c>
    </row>
    <row r="85" spans="1:26" ht="27.65" customHeight="1" x14ac:dyDescent="0.25">
      <c r="A85" s="17"/>
      <c r="B85" s="63" t="s">
        <v>149</v>
      </c>
      <c r="C85" s="63" t="s">
        <v>71</v>
      </c>
      <c r="D85" s="63" t="s">
        <v>20</v>
      </c>
      <c r="E85" s="54" t="s">
        <v>41</v>
      </c>
      <c r="F85" s="53">
        <v>45920</v>
      </c>
      <c r="G85" s="22"/>
      <c r="H85" s="27"/>
      <c r="I85" s="37"/>
      <c r="J85" s="25"/>
      <c r="K85" s="76"/>
      <c r="L85" s="6"/>
      <c r="M85" s="6">
        <v>2</v>
      </c>
      <c r="N85" s="35"/>
      <c r="O85" s="25"/>
      <c r="P85" s="6"/>
      <c r="Q85" s="6"/>
      <c r="R85" s="6">
        <v>1</v>
      </c>
      <c r="S85" s="13"/>
      <c r="T85" s="71"/>
      <c r="U85" s="28"/>
      <c r="V85" s="28"/>
      <c r="W85" s="28"/>
      <c r="X85" s="28"/>
      <c r="Y85" s="22">
        <f t="shared" si="2"/>
        <v>3</v>
      </c>
      <c r="Z85" s="40">
        <v>30000</v>
      </c>
    </row>
    <row r="86" spans="1:26" ht="27.65" customHeight="1" x14ac:dyDescent="0.25">
      <c r="A86" s="17">
        <v>45</v>
      </c>
      <c r="B86" s="63" t="s">
        <v>152</v>
      </c>
      <c r="C86" s="63" t="s">
        <v>71</v>
      </c>
      <c r="D86" s="63" t="s">
        <v>21</v>
      </c>
      <c r="E86" s="3" t="s">
        <v>43</v>
      </c>
      <c r="F86" s="53">
        <v>45922</v>
      </c>
      <c r="G86" s="22"/>
      <c r="H86" s="27"/>
      <c r="I86" s="100"/>
      <c r="J86" s="25"/>
      <c r="K86" s="76"/>
      <c r="L86" s="6"/>
      <c r="M86" s="6">
        <v>1</v>
      </c>
      <c r="N86" s="13"/>
      <c r="O86" s="27"/>
      <c r="P86" s="71"/>
      <c r="Q86" s="71"/>
      <c r="R86" s="70"/>
      <c r="S86" s="13"/>
      <c r="T86" s="71"/>
      <c r="U86" s="71"/>
      <c r="V86" s="71"/>
      <c r="W86" s="28"/>
      <c r="X86" s="28"/>
      <c r="Y86" s="22">
        <f t="shared" si="2"/>
        <v>1</v>
      </c>
      <c r="Z86" s="40">
        <v>20000</v>
      </c>
    </row>
    <row r="87" spans="1:26" ht="27.65" customHeight="1" x14ac:dyDescent="0.25">
      <c r="A87" s="17"/>
      <c r="B87" s="63" t="s">
        <v>154</v>
      </c>
      <c r="C87" s="63" t="s">
        <v>71</v>
      </c>
      <c r="D87" s="63" t="s">
        <v>20</v>
      </c>
      <c r="E87" s="3" t="s">
        <v>41</v>
      </c>
      <c r="F87" s="53">
        <v>45923</v>
      </c>
      <c r="G87" s="22"/>
      <c r="H87" s="27"/>
      <c r="I87" s="100"/>
      <c r="J87" s="25"/>
      <c r="K87" s="76"/>
      <c r="L87" s="6">
        <v>1</v>
      </c>
      <c r="M87" s="6">
        <v>1</v>
      </c>
      <c r="N87" s="35"/>
      <c r="O87" s="25"/>
      <c r="P87" s="6"/>
      <c r="Q87" s="6">
        <v>1</v>
      </c>
      <c r="R87" s="6"/>
      <c r="S87" s="13"/>
      <c r="T87" s="76"/>
      <c r="U87" s="6"/>
      <c r="V87" s="6"/>
      <c r="W87" s="6">
        <v>1</v>
      </c>
      <c r="X87" s="6"/>
      <c r="Y87" s="22">
        <f t="shared" si="2"/>
        <v>4</v>
      </c>
      <c r="Z87" s="40">
        <v>40000</v>
      </c>
    </row>
    <row r="88" spans="1:26" ht="27.65" customHeight="1" x14ac:dyDescent="0.25">
      <c r="A88" s="17">
        <v>46</v>
      </c>
      <c r="B88" s="51" t="s">
        <v>159</v>
      </c>
      <c r="C88" s="51" t="s">
        <v>71</v>
      </c>
      <c r="D88" s="51" t="s">
        <v>21</v>
      </c>
      <c r="E88" s="3" t="s">
        <v>41</v>
      </c>
      <c r="F88" s="53">
        <v>45924</v>
      </c>
      <c r="G88" s="22"/>
      <c r="H88" s="27"/>
      <c r="I88" s="14"/>
      <c r="J88" s="25">
        <v>8</v>
      </c>
      <c r="K88" s="76">
        <v>4</v>
      </c>
      <c r="L88" s="6">
        <v>9</v>
      </c>
      <c r="M88" s="6">
        <v>2</v>
      </c>
      <c r="N88" s="13">
        <v>5</v>
      </c>
      <c r="O88" s="27"/>
      <c r="P88" s="28"/>
      <c r="Q88" s="28"/>
      <c r="R88" s="37"/>
      <c r="S88" s="13">
        <v>1</v>
      </c>
      <c r="T88" s="104"/>
      <c r="U88" s="28"/>
      <c r="V88" s="28"/>
      <c r="W88" s="28"/>
      <c r="X88" s="28"/>
      <c r="Y88" s="22">
        <f t="shared" si="2"/>
        <v>29</v>
      </c>
      <c r="Z88" s="40">
        <v>50000</v>
      </c>
    </row>
    <row r="89" spans="1:26" ht="27.65" customHeight="1" x14ac:dyDescent="0.25">
      <c r="A89" s="17"/>
      <c r="B89" s="60" t="s">
        <v>156</v>
      </c>
      <c r="C89" s="63" t="s">
        <v>71</v>
      </c>
      <c r="D89" s="63" t="s">
        <v>20</v>
      </c>
      <c r="E89" s="3" t="s">
        <v>41</v>
      </c>
      <c r="F89" s="53">
        <v>45925</v>
      </c>
      <c r="G89" s="22"/>
      <c r="H89" s="27"/>
      <c r="I89" s="100"/>
      <c r="J89" s="25"/>
      <c r="K89" s="76">
        <v>2</v>
      </c>
      <c r="L89" s="6"/>
      <c r="M89" s="6"/>
      <c r="N89" s="13"/>
      <c r="O89" s="27"/>
      <c r="P89" s="71"/>
      <c r="Q89" s="71"/>
      <c r="R89" s="70"/>
      <c r="S89" s="13"/>
      <c r="T89" s="71"/>
      <c r="U89" s="71"/>
      <c r="V89" s="71"/>
      <c r="W89" s="71"/>
      <c r="X89" s="71"/>
      <c r="Y89" s="22">
        <f t="shared" si="2"/>
        <v>2</v>
      </c>
      <c r="Z89" s="40">
        <v>60000</v>
      </c>
    </row>
    <row r="90" spans="1:26" ht="27.65" customHeight="1" x14ac:dyDescent="0.25">
      <c r="A90" s="17"/>
      <c r="B90" s="60" t="s">
        <v>155</v>
      </c>
      <c r="C90" s="63" t="s">
        <v>71</v>
      </c>
      <c r="D90" s="63" t="s">
        <v>20</v>
      </c>
      <c r="E90" s="3" t="s">
        <v>43</v>
      </c>
      <c r="F90" s="53">
        <v>45925</v>
      </c>
      <c r="G90" s="26"/>
      <c r="H90" s="27">
        <v>1</v>
      </c>
      <c r="I90" s="37"/>
      <c r="J90" s="25">
        <v>2</v>
      </c>
      <c r="K90" s="76">
        <v>2</v>
      </c>
      <c r="L90" s="6">
        <v>1</v>
      </c>
      <c r="M90" s="6">
        <v>2</v>
      </c>
      <c r="N90" s="35">
        <v>1</v>
      </c>
      <c r="O90" s="25"/>
      <c r="P90" s="6">
        <v>1</v>
      </c>
      <c r="Q90" s="6">
        <v>2</v>
      </c>
      <c r="R90" s="6">
        <v>1</v>
      </c>
      <c r="S90" s="13">
        <v>2</v>
      </c>
      <c r="T90" s="104"/>
      <c r="U90" s="28"/>
      <c r="V90" s="28">
        <v>1</v>
      </c>
      <c r="W90" s="28">
        <v>2</v>
      </c>
      <c r="X90" s="28">
        <v>1</v>
      </c>
      <c r="Y90" s="22">
        <f t="shared" si="2"/>
        <v>19</v>
      </c>
      <c r="Z90" s="40">
        <v>20000</v>
      </c>
    </row>
    <row r="91" spans="1:26" ht="27.65" customHeight="1" x14ac:dyDescent="0.25">
      <c r="A91" s="17">
        <v>47</v>
      </c>
      <c r="B91" s="63" t="s">
        <v>160</v>
      </c>
      <c r="C91" s="63" t="s">
        <v>71</v>
      </c>
      <c r="D91" s="63" t="s">
        <v>21</v>
      </c>
      <c r="E91" s="3" t="s">
        <v>44</v>
      </c>
      <c r="F91" s="53">
        <v>45925</v>
      </c>
      <c r="G91" s="22"/>
      <c r="H91" s="27">
        <v>1</v>
      </c>
      <c r="I91" s="14"/>
      <c r="J91" s="27"/>
      <c r="K91" s="71">
        <v>1</v>
      </c>
      <c r="L91" s="28">
        <v>3</v>
      </c>
      <c r="M91" s="37">
        <v>3</v>
      </c>
      <c r="N91" s="14">
        <v>2</v>
      </c>
      <c r="O91" s="27"/>
      <c r="P91" s="28"/>
      <c r="Q91" s="28">
        <v>1</v>
      </c>
      <c r="R91" s="37"/>
      <c r="S91" s="13">
        <v>1</v>
      </c>
      <c r="T91" s="71"/>
      <c r="U91" s="28"/>
      <c r="V91" s="28"/>
      <c r="W91" s="28"/>
      <c r="X91" s="28">
        <v>2</v>
      </c>
      <c r="Y91" s="22">
        <f t="shared" si="2"/>
        <v>14</v>
      </c>
      <c r="Z91" s="40">
        <v>45000</v>
      </c>
    </row>
    <row r="92" spans="1:26" ht="27.65" customHeight="1" x14ac:dyDescent="0.25">
      <c r="A92" s="17"/>
      <c r="B92" s="63" t="s">
        <v>161</v>
      </c>
      <c r="C92" s="63" t="s">
        <v>71</v>
      </c>
      <c r="D92" s="63" t="s">
        <v>20</v>
      </c>
      <c r="E92" s="3" t="s">
        <v>41</v>
      </c>
      <c r="F92" s="53">
        <v>45926</v>
      </c>
      <c r="G92" s="22"/>
      <c r="H92" s="25"/>
      <c r="I92" s="35"/>
      <c r="J92" s="25">
        <v>5</v>
      </c>
      <c r="K92" s="76"/>
      <c r="L92" s="6"/>
      <c r="M92" s="6"/>
      <c r="N92" s="35">
        <v>1</v>
      </c>
      <c r="O92" s="25"/>
      <c r="P92" s="6"/>
      <c r="Q92" s="6"/>
      <c r="R92" s="6"/>
      <c r="S92" s="13"/>
      <c r="T92" s="76"/>
      <c r="U92" s="6"/>
      <c r="V92" s="6"/>
      <c r="W92" s="6"/>
      <c r="X92" s="6"/>
      <c r="Y92" s="22">
        <f t="shared" si="2"/>
        <v>6</v>
      </c>
      <c r="Z92" s="40">
        <v>25000</v>
      </c>
    </row>
    <row r="93" spans="1:26" ht="27.65" customHeight="1" x14ac:dyDescent="0.25">
      <c r="A93" s="17"/>
      <c r="B93" s="51" t="s">
        <v>163</v>
      </c>
      <c r="C93" s="63" t="s">
        <v>71</v>
      </c>
      <c r="D93" s="63" t="s">
        <v>20</v>
      </c>
      <c r="E93" s="3" t="s">
        <v>41</v>
      </c>
      <c r="F93" s="53">
        <v>45927</v>
      </c>
      <c r="G93" s="22"/>
      <c r="H93" s="27"/>
      <c r="I93" s="37"/>
      <c r="J93" s="25"/>
      <c r="K93" s="76">
        <v>3</v>
      </c>
      <c r="L93" s="6"/>
      <c r="M93" s="6">
        <v>2</v>
      </c>
      <c r="N93" s="35">
        <v>2</v>
      </c>
      <c r="O93" s="25"/>
      <c r="P93" s="6"/>
      <c r="Q93" s="6"/>
      <c r="R93" s="6"/>
      <c r="S93" s="13"/>
      <c r="T93" s="71"/>
      <c r="U93" s="28"/>
      <c r="V93" s="28"/>
      <c r="W93" s="28"/>
      <c r="X93" s="28"/>
      <c r="Y93" s="22">
        <f t="shared" si="2"/>
        <v>7</v>
      </c>
      <c r="Z93" s="40">
        <v>25000</v>
      </c>
    </row>
    <row r="94" spans="1:26" ht="27.65" customHeight="1" x14ac:dyDescent="0.25">
      <c r="A94" s="17">
        <v>48</v>
      </c>
      <c r="B94" s="63" t="s">
        <v>164</v>
      </c>
      <c r="C94" s="51" t="s">
        <v>71</v>
      </c>
      <c r="D94" s="51" t="s">
        <v>21</v>
      </c>
      <c r="E94" s="3" t="s">
        <v>84</v>
      </c>
      <c r="F94" s="53">
        <v>45927</v>
      </c>
      <c r="G94" s="22"/>
      <c r="H94" s="27"/>
      <c r="I94" s="14"/>
      <c r="J94" s="27">
        <v>1</v>
      </c>
      <c r="K94" s="71"/>
      <c r="L94" s="28"/>
      <c r="M94" s="28"/>
      <c r="N94" s="100"/>
      <c r="O94" s="27"/>
      <c r="P94" s="28"/>
      <c r="Q94" s="28"/>
      <c r="R94" s="37"/>
      <c r="S94" s="13"/>
      <c r="T94" s="104"/>
      <c r="U94" s="28"/>
      <c r="V94" s="28"/>
      <c r="W94" s="28"/>
      <c r="X94" s="28"/>
      <c r="Y94" s="22">
        <f t="shared" si="2"/>
        <v>1</v>
      </c>
      <c r="Z94" s="40">
        <v>70000</v>
      </c>
    </row>
    <row r="95" spans="1:26" ht="27.65" customHeight="1" x14ac:dyDescent="0.25">
      <c r="A95" s="17"/>
      <c r="B95" s="63" t="s">
        <v>167</v>
      </c>
      <c r="C95" s="51" t="s">
        <v>71</v>
      </c>
      <c r="D95" s="63" t="s">
        <v>20</v>
      </c>
      <c r="E95" s="54" t="s">
        <v>41</v>
      </c>
      <c r="F95" s="53">
        <v>45930</v>
      </c>
      <c r="G95" s="22"/>
      <c r="H95" s="27"/>
      <c r="I95" s="37"/>
      <c r="J95" s="25"/>
      <c r="K95" s="76">
        <v>2</v>
      </c>
      <c r="L95" s="6"/>
      <c r="M95" s="6"/>
      <c r="N95" s="35">
        <v>2</v>
      </c>
      <c r="O95" s="25"/>
      <c r="P95" s="6">
        <v>1</v>
      </c>
      <c r="Q95" s="6"/>
      <c r="R95" s="6"/>
      <c r="S95" s="13"/>
      <c r="T95" s="71"/>
      <c r="U95" s="28"/>
      <c r="V95" s="28"/>
      <c r="W95" s="28">
        <v>1</v>
      </c>
      <c r="X95" s="71"/>
      <c r="Y95" s="22">
        <f t="shared" si="2"/>
        <v>6</v>
      </c>
      <c r="Z95" s="40">
        <v>100000</v>
      </c>
    </row>
    <row r="96" spans="1:26" ht="27.65" customHeight="1" x14ac:dyDescent="0.25">
      <c r="A96" s="17">
        <v>49</v>
      </c>
      <c r="B96" s="51" t="s">
        <v>169</v>
      </c>
      <c r="C96" s="51" t="s">
        <v>71</v>
      </c>
      <c r="D96" s="63" t="s">
        <v>21</v>
      </c>
      <c r="E96" s="3" t="s">
        <v>41</v>
      </c>
      <c r="F96" s="53">
        <v>45931</v>
      </c>
      <c r="G96" s="22"/>
      <c r="H96" s="27"/>
      <c r="I96" s="100"/>
      <c r="J96" s="27">
        <v>3</v>
      </c>
      <c r="K96" s="71">
        <v>1</v>
      </c>
      <c r="L96" s="71"/>
      <c r="M96" s="71">
        <v>3</v>
      </c>
      <c r="N96" s="100"/>
      <c r="O96" s="27"/>
      <c r="P96" s="71"/>
      <c r="Q96" s="71"/>
      <c r="R96" s="70"/>
      <c r="S96" s="13"/>
      <c r="T96" s="71"/>
      <c r="U96" s="71"/>
      <c r="V96" s="71"/>
      <c r="W96" s="71"/>
      <c r="X96" s="71"/>
      <c r="Y96" s="22">
        <f t="shared" si="2"/>
        <v>7</v>
      </c>
      <c r="Z96" s="40">
        <v>40000</v>
      </c>
    </row>
    <row r="97" spans="1:26" ht="27.65" customHeight="1" x14ac:dyDescent="0.25">
      <c r="A97" s="17"/>
      <c r="B97" s="51" t="s">
        <v>168</v>
      </c>
      <c r="C97" s="51" t="s">
        <v>71</v>
      </c>
      <c r="D97" s="63" t="s">
        <v>20</v>
      </c>
      <c r="E97" s="54" t="s">
        <v>41</v>
      </c>
      <c r="F97" s="53">
        <v>45933</v>
      </c>
      <c r="G97" s="22"/>
      <c r="H97" s="27"/>
      <c r="I97" s="100"/>
      <c r="J97" s="27">
        <v>3</v>
      </c>
      <c r="K97" s="71"/>
      <c r="L97" s="6">
        <v>1</v>
      </c>
      <c r="M97" s="71">
        <v>1</v>
      </c>
      <c r="N97" s="100"/>
      <c r="O97" s="27"/>
      <c r="P97" s="71"/>
      <c r="Q97" s="71"/>
      <c r="R97" s="70"/>
      <c r="S97" s="13"/>
      <c r="T97" s="71"/>
      <c r="U97" s="71"/>
      <c r="V97" s="71"/>
      <c r="W97" s="71"/>
      <c r="X97" s="71"/>
      <c r="Y97" s="22">
        <f t="shared" si="2"/>
        <v>5</v>
      </c>
      <c r="Z97" s="40">
        <v>30000</v>
      </c>
    </row>
    <row r="98" spans="1:26" ht="27.65" customHeight="1" x14ac:dyDescent="0.25">
      <c r="A98" s="17"/>
      <c r="B98" s="51" t="s">
        <v>170</v>
      </c>
      <c r="C98" s="51" t="s">
        <v>71</v>
      </c>
      <c r="D98" s="63" t="s">
        <v>20</v>
      </c>
      <c r="E98" s="3" t="s">
        <v>41</v>
      </c>
      <c r="F98" s="53">
        <v>45936</v>
      </c>
      <c r="G98" s="22"/>
      <c r="H98" s="27"/>
      <c r="I98" s="14"/>
      <c r="J98" s="25"/>
      <c r="K98" s="76"/>
      <c r="L98" s="6"/>
      <c r="M98" s="6"/>
      <c r="N98" s="13"/>
      <c r="O98" s="27"/>
      <c r="P98" s="28"/>
      <c r="Q98" s="28">
        <v>1</v>
      </c>
      <c r="R98" s="37"/>
      <c r="S98" s="13"/>
      <c r="T98" s="71"/>
      <c r="U98" s="28"/>
      <c r="V98" s="28"/>
      <c r="W98" s="28"/>
      <c r="X98" s="28"/>
      <c r="Y98" s="22">
        <f t="shared" si="2"/>
        <v>1</v>
      </c>
      <c r="Z98" s="40">
        <v>30000</v>
      </c>
    </row>
    <row r="99" spans="1:26" ht="27.65" customHeight="1" x14ac:dyDescent="0.25">
      <c r="A99" s="17">
        <v>50</v>
      </c>
      <c r="B99" s="63" t="s">
        <v>171</v>
      </c>
      <c r="C99" s="63" t="s">
        <v>71</v>
      </c>
      <c r="D99" s="63" t="s">
        <v>21</v>
      </c>
      <c r="E99" s="3" t="s">
        <v>41</v>
      </c>
      <c r="F99" s="53">
        <v>45938</v>
      </c>
      <c r="G99" s="22"/>
      <c r="H99" s="27"/>
      <c r="I99" s="14"/>
      <c r="J99" s="27">
        <v>2</v>
      </c>
      <c r="K99" s="71">
        <v>1</v>
      </c>
      <c r="L99" s="6">
        <v>2</v>
      </c>
      <c r="M99" s="6">
        <v>1</v>
      </c>
      <c r="N99" s="100">
        <v>1</v>
      </c>
      <c r="O99" s="27"/>
      <c r="P99" s="28"/>
      <c r="Q99" s="28"/>
      <c r="R99" s="37"/>
      <c r="S99" s="13"/>
      <c r="T99" s="105"/>
      <c r="U99" s="39"/>
      <c r="V99" s="28"/>
      <c r="W99" s="28"/>
      <c r="X99" s="28"/>
      <c r="Y99" s="22">
        <f t="shared" si="2"/>
        <v>7</v>
      </c>
      <c r="Z99" s="40">
        <v>25000</v>
      </c>
    </row>
    <row r="100" spans="1:26" ht="27.65" customHeight="1" x14ac:dyDescent="0.25">
      <c r="A100" s="17"/>
      <c r="B100" s="63" t="s">
        <v>173</v>
      </c>
      <c r="C100" s="63" t="s">
        <v>71</v>
      </c>
      <c r="D100" s="63" t="s">
        <v>20</v>
      </c>
      <c r="E100" s="3" t="s">
        <v>43</v>
      </c>
      <c r="F100" s="53">
        <v>45940</v>
      </c>
      <c r="G100" s="22"/>
      <c r="H100" s="27"/>
      <c r="I100" s="37"/>
      <c r="J100" s="25">
        <v>2</v>
      </c>
      <c r="K100" s="76">
        <v>1</v>
      </c>
      <c r="L100" s="6"/>
      <c r="M100" s="6"/>
      <c r="N100" s="35">
        <v>1</v>
      </c>
      <c r="O100" s="25"/>
      <c r="P100" s="6"/>
      <c r="Q100" s="6"/>
      <c r="R100" s="6"/>
      <c r="S100" s="13"/>
      <c r="T100" s="104"/>
      <c r="U100" s="28"/>
      <c r="V100" s="28"/>
      <c r="W100" s="28"/>
      <c r="X100" s="28"/>
      <c r="Y100" s="22">
        <f t="shared" si="2"/>
        <v>4</v>
      </c>
      <c r="Z100" s="40">
        <v>15000</v>
      </c>
    </row>
    <row r="101" spans="1:26" ht="27.65" customHeight="1" x14ac:dyDescent="0.25">
      <c r="A101" s="17"/>
      <c r="B101" s="63" t="s">
        <v>174</v>
      </c>
      <c r="C101" s="63" t="s">
        <v>71</v>
      </c>
      <c r="D101" s="63" t="s">
        <v>20</v>
      </c>
      <c r="E101" s="54" t="s">
        <v>44</v>
      </c>
      <c r="F101" s="53">
        <v>45940</v>
      </c>
      <c r="G101" s="22"/>
      <c r="H101" s="27">
        <v>1</v>
      </c>
      <c r="I101" s="37"/>
      <c r="J101" s="25"/>
      <c r="K101" s="76">
        <v>1</v>
      </c>
      <c r="L101" s="6"/>
      <c r="M101" s="6"/>
      <c r="N101" s="35"/>
      <c r="O101" s="25"/>
      <c r="P101" s="6"/>
      <c r="Q101" s="6"/>
      <c r="R101" s="6"/>
      <c r="S101" s="13"/>
      <c r="T101" s="104"/>
      <c r="U101" s="28"/>
      <c r="V101" s="28"/>
      <c r="W101" s="28">
        <v>1</v>
      </c>
      <c r="X101" s="28">
        <v>1</v>
      </c>
      <c r="Y101" s="22">
        <f t="shared" si="2"/>
        <v>4</v>
      </c>
      <c r="Z101" s="40">
        <v>21500</v>
      </c>
    </row>
    <row r="102" spans="1:26" ht="27.65" customHeight="1" x14ac:dyDescent="0.25">
      <c r="A102" s="17"/>
      <c r="B102" s="63" t="s">
        <v>177</v>
      </c>
      <c r="C102" s="63" t="s">
        <v>71</v>
      </c>
      <c r="D102" s="63" t="s">
        <v>20</v>
      </c>
      <c r="E102" s="54" t="s">
        <v>41</v>
      </c>
      <c r="F102" s="53">
        <v>45946</v>
      </c>
      <c r="G102" s="22"/>
      <c r="H102" s="27"/>
      <c r="I102" s="37"/>
      <c r="J102" s="25">
        <v>1</v>
      </c>
      <c r="K102" s="76"/>
      <c r="L102" s="6"/>
      <c r="M102" s="6">
        <v>1</v>
      </c>
      <c r="N102" s="35"/>
      <c r="O102" s="25"/>
      <c r="P102" s="6"/>
      <c r="Q102" s="6"/>
      <c r="R102" s="6"/>
      <c r="S102" s="13"/>
      <c r="T102" s="105"/>
      <c r="U102" s="39"/>
      <c r="V102" s="28"/>
      <c r="W102" s="28"/>
      <c r="X102" s="28"/>
      <c r="Y102" s="22">
        <f t="shared" si="2"/>
        <v>2</v>
      </c>
      <c r="Z102" s="40"/>
    </row>
    <row r="103" spans="1:26" ht="27.65" customHeight="1" x14ac:dyDescent="0.25">
      <c r="A103" s="17"/>
      <c r="B103" s="63" t="s">
        <v>178</v>
      </c>
      <c r="C103" s="63" t="s">
        <v>71</v>
      </c>
      <c r="D103" s="63" t="s">
        <v>20</v>
      </c>
      <c r="E103" s="54" t="s">
        <v>72</v>
      </c>
      <c r="F103" s="53">
        <v>45946</v>
      </c>
      <c r="G103" s="22"/>
      <c r="H103" s="27"/>
      <c r="I103" s="37"/>
      <c r="J103" s="25">
        <v>1</v>
      </c>
      <c r="K103" s="76"/>
      <c r="L103" s="6">
        <v>3</v>
      </c>
      <c r="M103" s="6">
        <v>1</v>
      </c>
      <c r="N103" s="35"/>
      <c r="O103" s="25"/>
      <c r="P103" s="6"/>
      <c r="Q103" s="6"/>
      <c r="R103" s="6"/>
      <c r="S103" s="13"/>
      <c r="T103" s="105"/>
      <c r="U103" s="39"/>
      <c r="V103" s="28"/>
      <c r="W103" s="28"/>
      <c r="X103" s="28"/>
      <c r="Y103" s="22">
        <f t="shared" si="2"/>
        <v>5</v>
      </c>
      <c r="Z103" s="40">
        <v>40000</v>
      </c>
    </row>
    <row r="104" spans="1:26" ht="27.65" customHeight="1" x14ac:dyDescent="0.25">
      <c r="A104" s="17"/>
      <c r="B104" s="63" t="s">
        <v>180</v>
      </c>
      <c r="C104" s="51" t="s">
        <v>71</v>
      </c>
      <c r="D104" s="63" t="s">
        <v>20</v>
      </c>
      <c r="E104" s="54" t="s">
        <v>42</v>
      </c>
      <c r="F104" s="53">
        <v>45947</v>
      </c>
      <c r="G104" s="22"/>
      <c r="H104" s="27"/>
      <c r="I104" s="14"/>
      <c r="J104" s="27">
        <v>1</v>
      </c>
      <c r="K104" s="71"/>
      <c r="L104" s="28"/>
      <c r="M104" s="28"/>
      <c r="N104" s="100"/>
      <c r="O104" s="27"/>
      <c r="P104" s="28"/>
      <c r="Q104" s="28"/>
      <c r="R104" s="37"/>
      <c r="S104" s="13"/>
      <c r="T104" s="105"/>
      <c r="U104" s="39"/>
      <c r="V104" s="28"/>
      <c r="W104" s="28"/>
      <c r="X104" s="28"/>
      <c r="Y104" s="22">
        <f t="shared" si="2"/>
        <v>1</v>
      </c>
      <c r="Z104" s="40">
        <v>25000</v>
      </c>
    </row>
    <row r="105" spans="1:26" ht="27.65" customHeight="1" x14ac:dyDescent="0.25">
      <c r="A105" s="17"/>
      <c r="B105" s="63" t="s">
        <v>180</v>
      </c>
      <c r="C105" s="51" t="s">
        <v>71</v>
      </c>
      <c r="D105" s="63" t="s">
        <v>21</v>
      </c>
      <c r="E105" s="54" t="s">
        <v>44</v>
      </c>
      <c r="F105" s="53">
        <v>45947</v>
      </c>
      <c r="G105" s="22"/>
      <c r="H105" s="27"/>
      <c r="I105" s="14"/>
      <c r="J105" s="27"/>
      <c r="K105" s="71"/>
      <c r="L105" s="28">
        <v>1</v>
      </c>
      <c r="M105" s="28"/>
      <c r="N105" s="100"/>
      <c r="O105" s="27"/>
      <c r="P105" s="28"/>
      <c r="Q105" s="28"/>
      <c r="R105" s="37"/>
      <c r="S105" s="13"/>
      <c r="T105" s="105"/>
      <c r="U105" s="39"/>
      <c r="V105" s="28"/>
      <c r="W105" s="28"/>
      <c r="X105" s="28"/>
      <c r="Y105" s="22">
        <f t="shared" si="2"/>
        <v>1</v>
      </c>
      <c r="Z105" s="40">
        <v>25000</v>
      </c>
    </row>
    <row r="106" spans="1:26" ht="27.65" customHeight="1" x14ac:dyDescent="0.25">
      <c r="A106" s="17"/>
      <c r="B106" s="63" t="s">
        <v>181</v>
      </c>
      <c r="C106" s="51" t="s">
        <v>71</v>
      </c>
      <c r="D106" s="63" t="s">
        <v>20</v>
      </c>
      <c r="E106" s="54" t="s">
        <v>44</v>
      </c>
      <c r="F106" s="53">
        <v>45947</v>
      </c>
      <c r="G106" s="22"/>
      <c r="H106" s="27"/>
      <c r="I106" s="37"/>
      <c r="J106" s="25"/>
      <c r="K106" s="76">
        <v>2</v>
      </c>
      <c r="L106" s="6"/>
      <c r="M106" s="6">
        <v>3</v>
      </c>
      <c r="N106" s="35"/>
      <c r="O106" s="25"/>
      <c r="P106" s="6"/>
      <c r="Q106" s="6"/>
      <c r="R106" s="6"/>
      <c r="S106" s="13"/>
      <c r="T106" s="105"/>
      <c r="U106" s="39"/>
      <c r="V106" s="28"/>
      <c r="W106" s="28"/>
      <c r="X106" s="28"/>
      <c r="Y106" s="22">
        <f t="shared" si="2"/>
        <v>5</v>
      </c>
      <c r="Z106" s="40">
        <v>21200</v>
      </c>
    </row>
    <row r="107" spans="1:26" ht="27.65" customHeight="1" x14ac:dyDescent="0.25">
      <c r="A107" s="17">
        <v>51</v>
      </c>
      <c r="B107" s="63" t="s">
        <v>184</v>
      </c>
      <c r="C107" s="63" t="s">
        <v>71</v>
      </c>
      <c r="D107" s="63" t="s">
        <v>21</v>
      </c>
      <c r="E107" s="3" t="s">
        <v>73</v>
      </c>
      <c r="F107" s="53">
        <v>45947</v>
      </c>
      <c r="G107" s="22"/>
      <c r="H107" s="27"/>
      <c r="I107" s="14"/>
      <c r="J107" s="27"/>
      <c r="K107" s="71"/>
      <c r="L107" s="28">
        <v>1</v>
      </c>
      <c r="M107" s="28">
        <v>1</v>
      </c>
      <c r="N107" s="100"/>
      <c r="O107" s="27"/>
      <c r="P107" s="28"/>
      <c r="Q107" s="28">
        <v>1</v>
      </c>
      <c r="R107" s="37"/>
      <c r="S107" s="13"/>
      <c r="T107" s="105"/>
      <c r="U107" s="39"/>
      <c r="V107" s="28"/>
      <c r="W107" s="28"/>
      <c r="X107" s="28"/>
      <c r="Y107" s="22">
        <f t="shared" si="2"/>
        <v>3</v>
      </c>
      <c r="Z107" s="40">
        <v>15000</v>
      </c>
    </row>
    <row r="108" spans="1:26" ht="27.65" customHeight="1" x14ac:dyDescent="0.25">
      <c r="A108" s="17"/>
      <c r="B108" s="63" t="s">
        <v>183</v>
      </c>
      <c r="C108" s="63" t="s">
        <v>71</v>
      </c>
      <c r="D108" s="63" t="s">
        <v>20</v>
      </c>
      <c r="E108" s="3" t="s">
        <v>41</v>
      </c>
      <c r="F108" s="53">
        <v>45953</v>
      </c>
      <c r="G108" s="22"/>
      <c r="H108" s="27"/>
      <c r="I108" s="37"/>
      <c r="J108" s="25">
        <v>3</v>
      </c>
      <c r="K108" s="76"/>
      <c r="L108" s="6">
        <v>1</v>
      </c>
      <c r="M108" s="6">
        <v>2</v>
      </c>
      <c r="N108" s="35"/>
      <c r="O108" s="25"/>
      <c r="P108" s="28"/>
      <c r="Q108" s="28"/>
      <c r="R108" s="37"/>
      <c r="S108" s="13"/>
      <c r="T108" s="71"/>
      <c r="U108" s="28"/>
      <c r="V108" s="28"/>
      <c r="W108" s="28"/>
      <c r="X108" s="28"/>
      <c r="Y108" s="22">
        <f t="shared" si="2"/>
        <v>6</v>
      </c>
      <c r="Z108" s="40">
        <v>30000</v>
      </c>
    </row>
    <row r="109" spans="1:26" ht="27.65" customHeight="1" x14ac:dyDescent="0.25">
      <c r="A109" s="17">
        <v>52</v>
      </c>
      <c r="B109" s="63" t="s">
        <v>186</v>
      </c>
      <c r="C109" s="63" t="s">
        <v>71</v>
      </c>
      <c r="D109" s="63" t="s">
        <v>21</v>
      </c>
      <c r="E109" s="3" t="s">
        <v>41</v>
      </c>
      <c r="F109" s="53">
        <v>45957</v>
      </c>
      <c r="G109" s="22"/>
      <c r="H109" s="27"/>
      <c r="I109" s="14"/>
      <c r="J109" s="25">
        <v>1</v>
      </c>
      <c r="K109" s="76"/>
      <c r="L109" s="6"/>
      <c r="M109" s="6"/>
      <c r="N109" s="13"/>
      <c r="O109" s="27"/>
      <c r="P109" s="28"/>
      <c r="Q109" s="28"/>
      <c r="R109" s="37"/>
      <c r="S109" s="13"/>
      <c r="T109" s="71"/>
      <c r="U109" s="28"/>
      <c r="V109" s="28"/>
      <c r="W109" s="28"/>
      <c r="X109" s="28"/>
      <c r="Y109" s="22">
        <f t="shared" si="2"/>
        <v>1</v>
      </c>
      <c r="Z109" s="40">
        <v>25000</v>
      </c>
    </row>
    <row r="110" spans="1:26" ht="27.65" customHeight="1" x14ac:dyDescent="0.25">
      <c r="A110" s="17">
        <v>53</v>
      </c>
      <c r="B110" s="63" t="s">
        <v>187</v>
      </c>
      <c r="C110" s="63" t="s">
        <v>71</v>
      </c>
      <c r="D110" s="63" t="s">
        <v>21</v>
      </c>
      <c r="E110" s="3" t="s">
        <v>43</v>
      </c>
      <c r="F110" s="53">
        <v>45959</v>
      </c>
      <c r="G110" s="22"/>
      <c r="H110" s="27"/>
      <c r="I110" s="14">
        <v>1</v>
      </c>
      <c r="J110" s="25">
        <v>2</v>
      </c>
      <c r="K110" s="76">
        <v>1</v>
      </c>
      <c r="L110" s="6">
        <v>2</v>
      </c>
      <c r="M110" s="6"/>
      <c r="N110" s="13"/>
      <c r="O110" s="27">
        <v>1</v>
      </c>
      <c r="P110" s="28">
        <v>2</v>
      </c>
      <c r="Q110" s="28"/>
      <c r="R110" s="37">
        <v>1</v>
      </c>
      <c r="S110" s="13">
        <v>1</v>
      </c>
      <c r="T110" s="71">
        <v>1</v>
      </c>
      <c r="U110" s="28">
        <v>1</v>
      </c>
      <c r="V110" s="28"/>
      <c r="W110" s="28">
        <v>2</v>
      </c>
      <c r="X110" s="28"/>
      <c r="Y110" s="22">
        <f t="shared" si="2"/>
        <v>15</v>
      </c>
      <c r="Z110" s="40">
        <v>27000</v>
      </c>
    </row>
    <row r="111" spans="1:26" ht="27.65" customHeight="1" x14ac:dyDescent="0.25">
      <c r="A111" s="17">
        <v>54</v>
      </c>
      <c r="B111" s="63" t="s">
        <v>188</v>
      </c>
      <c r="C111" s="63" t="s">
        <v>71</v>
      </c>
      <c r="D111" s="63" t="s">
        <v>21</v>
      </c>
      <c r="E111" s="3" t="s">
        <v>43</v>
      </c>
      <c r="F111" s="53">
        <v>45959</v>
      </c>
      <c r="G111" s="22"/>
      <c r="H111" s="27"/>
      <c r="I111" s="14"/>
      <c r="J111" s="25"/>
      <c r="K111" s="76"/>
      <c r="L111" s="6"/>
      <c r="M111" s="6">
        <v>1</v>
      </c>
      <c r="N111" s="13"/>
      <c r="O111" s="27">
        <v>1</v>
      </c>
      <c r="P111" s="28"/>
      <c r="Q111" s="28"/>
      <c r="R111" s="37"/>
      <c r="S111" s="13"/>
      <c r="T111" s="71"/>
      <c r="U111" s="28"/>
      <c r="V111" s="28"/>
      <c r="W111" s="28">
        <v>1</v>
      </c>
      <c r="X111" s="28"/>
      <c r="Y111" s="22">
        <f t="shared" si="2"/>
        <v>3</v>
      </c>
      <c r="Z111" s="40">
        <v>24000</v>
      </c>
    </row>
    <row r="112" spans="1:26" ht="27.65" customHeight="1" x14ac:dyDescent="0.25">
      <c r="A112" s="17"/>
      <c r="B112" s="63" t="s">
        <v>123</v>
      </c>
      <c r="C112" s="63" t="s">
        <v>71</v>
      </c>
      <c r="D112" s="63" t="s">
        <v>20</v>
      </c>
      <c r="E112" s="3" t="s">
        <v>41</v>
      </c>
      <c r="F112" s="53">
        <v>45960</v>
      </c>
      <c r="G112" s="22"/>
      <c r="H112" s="25"/>
      <c r="I112" s="13"/>
      <c r="J112" s="25">
        <v>1</v>
      </c>
      <c r="K112" s="76"/>
      <c r="L112" s="6">
        <v>1</v>
      </c>
      <c r="M112" s="6">
        <v>2</v>
      </c>
      <c r="N112" s="13"/>
      <c r="O112" s="25"/>
      <c r="P112" s="6"/>
      <c r="Q112" s="6"/>
      <c r="R112" s="35"/>
      <c r="S112" s="13"/>
      <c r="T112" s="103"/>
      <c r="U112" s="38"/>
      <c r="V112" s="6"/>
      <c r="W112" s="6"/>
      <c r="X112" s="6"/>
      <c r="Y112" s="22">
        <f t="shared" si="2"/>
        <v>4</v>
      </c>
      <c r="Z112" s="40">
        <v>30000</v>
      </c>
    </row>
    <row r="113" spans="1:26" ht="27.65" customHeight="1" x14ac:dyDescent="0.25">
      <c r="A113" s="17">
        <v>55</v>
      </c>
      <c r="B113" s="63" t="s">
        <v>189</v>
      </c>
      <c r="C113" s="63" t="s">
        <v>71</v>
      </c>
      <c r="D113" s="63" t="s">
        <v>21</v>
      </c>
      <c r="E113" s="3" t="s">
        <v>41</v>
      </c>
      <c r="F113" s="53">
        <v>45960</v>
      </c>
      <c r="G113" s="22"/>
      <c r="H113" s="25"/>
      <c r="I113" s="13"/>
      <c r="J113" s="25">
        <v>2</v>
      </c>
      <c r="K113" s="76"/>
      <c r="L113" s="6"/>
      <c r="M113" s="6"/>
      <c r="N113" s="13"/>
      <c r="O113" s="25"/>
      <c r="P113" s="6"/>
      <c r="Q113" s="6"/>
      <c r="R113" s="35"/>
      <c r="S113" s="13"/>
      <c r="T113" s="103"/>
      <c r="U113" s="38"/>
      <c r="V113" s="6"/>
      <c r="W113" s="6"/>
      <c r="X113" s="6"/>
      <c r="Y113" s="22">
        <f t="shared" ref="Y113" si="3">SUM(G113:X113)</f>
        <v>2</v>
      </c>
      <c r="Z113" s="40">
        <v>60000</v>
      </c>
    </row>
    <row r="114" spans="1:26" ht="27.65" customHeight="1" x14ac:dyDescent="0.25">
      <c r="A114" s="17"/>
      <c r="B114" s="51" t="s">
        <v>192</v>
      </c>
      <c r="C114" s="63" t="s">
        <v>71</v>
      </c>
      <c r="D114" s="63" t="s">
        <v>20</v>
      </c>
      <c r="E114" s="54" t="s">
        <v>41</v>
      </c>
      <c r="F114" s="53">
        <v>45961</v>
      </c>
      <c r="G114" s="22"/>
      <c r="H114" s="27"/>
      <c r="I114" s="14"/>
      <c r="J114" s="27"/>
      <c r="K114" s="71"/>
      <c r="L114" s="28">
        <v>1</v>
      </c>
      <c r="M114" s="28"/>
      <c r="N114" s="100"/>
      <c r="O114" s="27"/>
      <c r="P114" s="28"/>
      <c r="Q114" s="28"/>
      <c r="R114" s="37"/>
      <c r="S114" s="13"/>
      <c r="T114" s="71"/>
      <c r="U114" s="28"/>
      <c r="V114" s="28"/>
      <c r="W114" s="28"/>
      <c r="X114" s="28"/>
      <c r="Y114" s="22">
        <f t="shared" si="2"/>
        <v>1</v>
      </c>
      <c r="Z114" s="40">
        <v>18000</v>
      </c>
    </row>
    <row r="115" spans="1:26" ht="27.65" customHeight="1" x14ac:dyDescent="0.25">
      <c r="A115" s="17">
        <v>56</v>
      </c>
      <c r="B115" s="63" t="s">
        <v>199</v>
      </c>
      <c r="C115" s="63" t="s">
        <v>71</v>
      </c>
      <c r="D115" s="63" t="s">
        <v>21</v>
      </c>
      <c r="E115" s="3" t="s">
        <v>41</v>
      </c>
      <c r="F115" s="53">
        <v>45961</v>
      </c>
      <c r="G115" s="22"/>
      <c r="H115" s="27"/>
      <c r="I115" s="14"/>
      <c r="J115" s="27">
        <v>2</v>
      </c>
      <c r="K115" s="71">
        <v>2</v>
      </c>
      <c r="L115" s="28">
        <v>1</v>
      </c>
      <c r="M115" s="28">
        <v>1</v>
      </c>
      <c r="N115" s="100">
        <v>2</v>
      </c>
      <c r="O115" s="27"/>
      <c r="P115" s="28"/>
      <c r="Q115" s="28"/>
      <c r="R115" s="37"/>
      <c r="S115" s="13"/>
      <c r="T115" s="71"/>
      <c r="U115" s="28"/>
      <c r="V115" s="28"/>
      <c r="W115" s="28"/>
      <c r="X115" s="28"/>
      <c r="Y115" s="22">
        <f t="shared" si="2"/>
        <v>8</v>
      </c>
      <c r="Z115" s="40">
        <v>110000</v>
      </c>
    </row>
    <row r="116" spans="1:26" ht="27.65" customHeight="1" x14ac:dyDescent="0.25">
      <c r="A116" s="17">
        <v>57</v>
      </c>
      <c r="B116" s="63" t="s">
        <v>200</v>
      </c>
      <c r="C116" s="63" t="s">
        <v>71</v>
      </c>
      <c r="D116" s="63" t="s">
        <v>21</v>
      </c>
      <c r="E116" s="3" t="s">
        <v>42</v>
      </c>
      <c r="F116" s="53">
        <v>45964</v>
      </c>
      <c r="G116" s="22"/>
      <c r="H116" s="27"/>
      <c r="I116" s="14"/>
      <c r="J116" s="27">
        <v>1</v>
      </c>
      <c r="K116" s="71"/>
      <c r="L116" s="28"/>
      <c r="M116" s="28"/>
      <c r="N116" s="100"/>
      <c r="O116" s="27"/>
      <c r="P116" s="28">
        <v>1</v>
      </c>
      <c r="Q116" s="28">
        <v>3</v>
      </c>
      <c r="R116" s="37">
        <v>3</v>
      </c>
      <c r="S116" s="13"/>
      <c r="T116" s="71"/>
      <c r="U116" s="28">
        <v>1</v>
      </c>
      <c r="V116" s="28"/>
      <c r="W116" s="28">
        <v>7</v>
      </c>
      <c r="X116" s="28"/>
      <c r="Y116" s="22">
        <f t="shared" si="2"/>
        <v>16</v>
      </c>
      <c r="Z116" s="40">
        <v>20000</v>
      </c>
    </row>
    <row r="117" spans="1:26" ht="27.65" customHeight="1" x14ac:dyDescent="0.25">
      <c r="A117" s="17"/>
      <c r="B117" s="63" t="s">
        <v>194</v>
      </c>
      <c r="C117" s="63" t="s">
        <v>71</v>
      </c>
      <c r="D117" s="63" t="s">
        <v>20</v>
      </c>
      <c r="E117" s="3" t="s">
        <v>41</v>
      </c>
      <c r="F117" s="53">
        <v>45967</v>
      </c>
      <c r="G117" s="22"/>
      <c r="H117" s="27"/>
      <c r="I117" s="14"/>
      <c r="J117" s="25">
        <v>1</v>
      </c>
      <c r="K117" s="76">
        <v>1</v>
      </c>
      <c r="L117" s="6"/>
      <c r="M117" s="6"/>
      <c r="N117" s="35">
        <v>3</v>
      </c>
      <c r="O117" s="25"/>
      <c r="P117" s="6"/>
      <c r="Q117" s="6"/>
      <c r="R117" s="6"/>
      <c r="S117" s="13">
        <v>2</v>
      </c>
      <c r="T117" s="71"/>
      <c r="U117" s="28"/>
      <c r="V117" s="28"/>
      <c r="W117" s="28"/>
      <c r="X117" s="28"/>
      <c r="Y117" s="22">
        <f t="shared" si="2"/>
        <v>7</v>
      </c>
      <c r="Z117" s="40">
        <v>25000</v>
      </c>
    </row>
    <row r="118" spans="1:26" ht="27.65" customHeight="1" x14ac:dyDescent="0.25">
      <c r="A118" s="17">
        <v>58</v>
      </c>
      <c r="B118" s="63" t="s">
        <v>201</v>
      </c>
      <c r="C118" s="63" t="s">
        <v>71</v>
      </c>
      <c r="D118" s="63" t="s">
        <v>21</v>
      </c>
      <c r="E118" s="3" t="s">
        <v>41</v>
      </c>
      <c r="F118" s="53">
        <v>45968</v>
      </c>
      <c r="G118" s="22"/>
      <c r="H118" s="25"/>
      <c r="I118" s="13"/>
      <c r="J118" s="25"/>
      <c r="K118" s="76">
        <v>1</v>
      </c>
      <c r="L118" s="6"/>
      <c r="M118" s="6"/>
      <c r="N118" s="97"/>
      <c r="O118" s="25"/>
      <c r="P118" s="6">
        <v>1</v>
      </c>
      <c r="Q118" s="6"/>
      <c r="R118" s="35"/>
      <c r="S118" s="13"/>
      <c r="T118" s="103"/>
      <c r="U118" s="38"/>
      <c r="V118" s="6"/>
      <c r="W118" s="6"/>
      <c r="X118" s="6"/>
      <c r="Y118" s="22">
        <f t="shared" si="2"/>
        <v>2</v>
      </c>
      <c r="Z118" s="40">
        <v>105000</v>
      </c>
    </row>
    <row r="119" spans="1:26" ht="27.65" customHeight="1" x14ac:dyDescent="0.25">
      <c r="A119" s="17">
        <v>59</v>
      </c>
      <c r="B119" s="63" t="s">
        <v>206</v>
      </c>
      <c r="C119" s="63" t="s">
        <v>71</v>
      </c>
      <c r="D119" s="63" t="s">
        <v>21</v>
      </c>
      <c r="E119" s="3" t="s">
        <v>41</v>
      </c>
      <c r="F119" s="53">
        <v>45972</v>
      </c>
      <c r="G119" s="22"/>
      <c r="H119" s="25"/>
      <c r="I119" s="13"/>
      <c r="J119" s="25"/>
      <c r="K119" s="76">
        <v>1</v>
      </c>
      <c r="L119" s="6"/>
      <c r="M119" s="6"/>
      <c r="N119" s="97">
        <v>1</v>
      </c>
      <c r="O119" s="25"/>
      <c r="P119" s="6">
        <v>1</v>
      </c>
      <c r="Q119" s="6"/>
      <c r="R119" s="35">
        <v>1</v>
      </c>
      <c r="S119" s="13"/>
      <c r="T119" s="103"/>
      <c r="U119" s="38"/>
      <c r="V119" s="6"/>
      <c r="W119" s="6"/>
      <c r="X119" s="6"/>
      <c r="Y119" s="22">
        <f t="shared" si="2"/>
        <v>4</v>
      </c>
      <c r="Z119" s="40" t="s">
        <v>241</v>
      </c>
    </row>
    <row r="120" spans="1:26" ht="27.65" customHeight="1" x14ac:dyDescent="0.25">
      <c r="A120" s="17">
        <v>60</v>
      </c>
      <c r="B120" s="63" t="s">
        <v>207</v>
      </c>
      <c r="C120" s="63" t="s">
        <v>71</v>
      </c>
      <c r="D120" s="63" t="s">
        <v>21</v>
      </c>
      <c r="E120" s="3" t="s">
        <v>41</v>
      </c>
      <c r="F120" s="53">
        <v>45972</v>
      </c>
      <c r="G120" s="22"/>
      <c r="H120" s="27"/>
      <c r="I120" s="14"/>
      <c r="J120" s="27"/>
      <c r="K120" s="71">
        <v>2</v>
      </c>
      <c r="L120" s="28">
        <v>1</v>
      </c>
      <c r="M120" s="28">
        <v>1</v>
      </c>
      <c r="N120" s="100"/>
      <c r="O120" s="27"/>
      <c r="P120" s="28"/>
      <c r="Q120" s="28"/>
      <c r="R120" s="37"/>
      <c r="S120" s="13"/>
      <c r="T120" s="71"/>
      <c r="U120" s="28"/>
      <c r="V120" s="28"/>
      <c r="W120" s="28"/>
      <c r="X120" s="28"/>
      <c r="Y120" s="22">
        <f t="shared" si="2"/>
        <v>4</v>
      </c>
      <c r="Z120" s="40">
        <v>90000</v>
      </c>
    </row>
    <row r="121" spans="1:26" ht="27.65" customHeight="1" x14ac:dyDescent="0.25">
      <c r="A121" s="17"/>
      <c r="B121" s="63" t="s">
        <v>208</v>
      </c>
      <c r="C121" s="63" t="s">
        <v>71</v>
      </c>
      <c r="D121" s="63" t="s">
        <v>20</v>
      </c>
      <c r="E121" s="3" t="s">
        <v>41</v>
      </c>
      <c r="F121" s="53">
        <v>45973</v>
      </c>
      <c r="G121" s="22"/>
      <c r="H121" s="27"/>
      <c r="I121" s="14"/>
      <c r="J121" s="25"/>
      <c r="K121" s="76">
        <v>1</v>
      </c>
      <c r="L121" s="6"/>
      <c r="M121" s="6"/>
      <c r="N121" s="13"/>
      <c r="O121" s="27"/>
      <c r="P121" s="28"/>
      <c r="Q121" s="28"/>
      <c r="R121" s="37"/>
      <c r="S121" s="13"/>
      <c r="T121" s="104"/>
      <c r="U121" s="28"/>
      <c r="V121" s="28"/>
      <c r="W121" s="28"/>
      <c r="X121" s="28"/>
      <c r="Y121" s="22">
        <f t="shared" si="2"/>
        <v>1</v>
      </c>
      <c r="Z121" s="40">
        <v>30000</v>
      </c>
    </row>
    <row r="122" spans="1:26" ht="27.65" customHeight="1" x14ac:dyDescent="0.25">
      <c r="A122" s="17">
        <v>61</v>
      </c>
      <c r="B122" s="63" t="s">
        <v>209</v>
      </c>
      <c r="C122" s="63" t="s">
        <v>71</v>
      </c>
      <c r="D122" s="63" t="s">
        <v>21</v>
      </c>
      <c r="E122" s="3" t="s">
        <v>42</v>
      </c>
      <c r="F122" s="53">
        <v>45973</v>
      </c>
      <c r="G122" s="22">
        <v>1</v>
      </c>
      <c r="H122" s="27"/>
      <c r="I122" s="14"/>
      <c r="J122" s="27"/>
      <c r="K122" s="71"/>
      <c r="L122" s="28"/>
      <c r="M122" s="28"/>
      <c r="N122" s="100"/>
      <c r="O122" s="27"/>
      <c r="P122" s="28"/>
      <c r="Q122" s="28"/>
      <c r="R122" s="37"/>
      <c r="S122" s="13"/>
      <c r="T122" s="71"/>
      <c r="U122" s="28"/>
      <c r="V122" s="28"/>
      <c r="W122" s="28"/>
      <c r="X122" s="28"/>
      <c r="Y122" s="22">
        <f t="shared" si="2"/>
        <v>1</v>
      </c>
      <c r="Z122" s="40" t="s">
        <v>241</v>
      </c>
    </row>
    <row r="123" spans="1:26" ht="27.65" customHeight="1" x14ac:dyDescent="0.25">
      <c r="A123" s="17"/>
      <c r="B123" s="63" t="s">
        <v>49</v>
      </c>
      <c r="C123" s="63" t="s">
        <v>71</v>
      </c>
      <c r="D123" s="63" t="s">
        <v>20</v>
      </c>
      <c r="E123" s="3" t="s">
        <v>41</v>
      </c>
      <c r="F123" s="53">
        <v>45978</v>
      </c>
      <c r="G123" s="22"/>
      <c r="H123" s="27"/>
      <c r="I123" s="14"/>
      <c r="J123" s="25"/>
      <c r="K123" s="76"/>
      <c r="L123" s="6"/>
      <c r="M123" s="6"/>
      <c r="N123" s="100"/>
      <c r="O123" s="27"/>
      <c r="P123" s="28"/>
      <c r="Q123" s="28"/>
      <c r="R123" s="37"/>
      <c r="S123" s="13"/>
      <c r="T123" s="71"/>
      <c r="U123" s="28"/>
      <c r="V123" s="28">
        <v>1</v>
      </c>
      <c r="W123" s="28"/>
      <c r="X123" s="28">
        <v>1</v>
      </c>
      <c r="Y123" s="22">
        <f t="shared" si="2"/>
        <v>2</v>
      </c>
      <c r="Z123" s="40">
        <v>100000</v>
      </c>
    </row>
    <row r="124" spans="1:26" ht="27.65" customHeight="1" x14ac:dyDescent="0.25">
      <c r="A124" s="17"/>
      <c r="B124" s="63" t="s">
        <v>212</v>
      </c>
      <c r="C124" s="63" t="s">
        <v>71</v>
      </c>
      <c r="D124" s="63" t="s">
        <v>20</v>
      </c>
      <c r="E124" s="3" t="s">
        <v>41</v>
      </c>
      <c r="F124" s="53">
        <v>45978</v>
      </c>
      <c r="G124" s="22"/>
      <c r="H124" s="27"/>
      <c r="I124" s="14"/>
      <c r="J124" s="25"/>
      <c r="K124" s="76"/>
      <c r="L124" s="6">
        <v>2</v>
      </c>
      <c r="M124" s="6">
        <v>1</v>
      </c>
      <c r="N124" s="100"/>
      <c r="O124" s="27"/>
      <c r="P124" s="28"/>
      <c r="Q124" s="28"/>
      <c r="R124" s="37"/>
      <c r="S124" s="13"/>
      <c r="T124" s="71"/>
      <c r="U124" s="28"/>
      <c r="V124" s="28"/>
      <c r="W124" s="28"/>
      <c r="X124" s="28"/>
      <c r="Y124" s="22">
        <f t="shared" ref="Y124" si="4">SUM(G124:X124)</f>
        <v>3</v>
      </c>
      <c r="Z124" s="40">
        <v>25000</v>
      </c>
    </row>
    <row r="125" spans="1:26" ht="27.65" customHeight="1" x14ac:dyDescent="0.25">
      <c r="A125" s="17"/>
      <c r="B125" s="63" t="s">
        <v>213</v>
      </c>
      <c r="C125" s="63" t="s">
        <v>71</v>
      </c>
      <c r="D125" s="63" t="s">
        <v>20</v>
      </c>
      <c r="E125" s="3" t="s">
        <v>41</v>
      </c>
      <c r="F125" s="53">
        <v>45981</v>
      </c>
      <c r="G125" s="22"/>
      <c r="H125" s="25"/>
      <c r="I125" s="13"/>
      <c r="J125" s="25">
        <v>1</v>
      </c>
      <c r="K125" s="76"/>
      <c r="L125" s="6">
        <v>1</v>
      </c>
      <c r="M125" s="35"/>
      <c r="N125" s="13"/>
      <c r="O125" s="25"/>
      <c r="P125" s="6"/>
      <c r="Q125" s="6"/>
      <c r="R125" s="35"/>
      <c r="S125" s="13"/>
      <c r="T125" s="76"/>
      <c r="U125" s="6"/>
      <c r="V125" s="6"/>
      <c r="W125" s="6">
        <v>2</v>
      </c>
      <c r="X125" s="6"/>
      <c r="Y125" s="22">
        <f t="shared" si="2"/>
        <v>4</v>
      </c>
      <c r="Z125" s="40">
        <v>70000</v>
      </c>
    </row>
    <row r="126" spans="1:26" ht="27.65" customHeight="1" x14ac:dyDescent="0.25">
      <c r="A126" s="17">
        <v>62</v>
      </c>
      <c r="B126" s="63" t="s">
        <v>214</v>
      </c>
      <c r="C126" s="63" t="s">
        <v>71</v>
      </c>
      <c r="D126" s="63" t="s">
        <v>21</v>
      </c>
      <c r="E126" s="3" t="s">
        <v>42</v>
      </c>
      <c r="F126" s="53">
        <v>45981</v>
      </c>
      <c r="G126" s="22"/>
      <c r="H126" s="27"/>
      <c r="I126" s="14"/>
      <c r="J126" s="25"/>
      <c r="K126" s="76"/>
      <c r="L126" s="6"/>
      <c r="M126" s="6"/>
      <c r="N126" s="13"/>
      <c r="O126" s="27"/>
      <c r="P126" s="28"/>
      <c r="Q126" s="28"/>
      <c r="R126" s="35"/>
      <c r="S126" s="13"/>
      <c r="T126" s="102"/>
      <c r="U126" s="6"/>
      <c r="V126" s="6"/>
      <c r="W126" s="6">
        <v>1</v>
      </c>
      <c r="X126" s="6"/>
      <c r="Y126" s="22">
        <f t="shared" si="2"/>
        <v>1</v>
      </c>
      <c r="Z126" s="40">
        <v>30000</v>
      </c>
    </row>
    <row r="127" spans="1:26" ht="27.65" customHeight="1" x14ac:dyDescent="0.25">
      <c r="A127" s="17">
        <v>63</v>
      </c>
      <c r="B127" s="63" t="s">
        <v>215</v>
      </c>
      <c r="C127" s="63" t="s">
        <v>71</v>
      </c>
      <c r="D127" s="63" t="s">
        <v>21</v>
      </c>
      <c r="E127" s="62" t="s">
        <v>41</v>
      </c>
      <c r="F127" s="53">
        <v>45981</v>
      </c>
      <c r="G127" s="22"/>
      <c r="H127" s="25"/>
      <c r="I127" s="13"/>
      <c r="J127" s="25"/>
      <c r="K127" s="76"/>
      <c r="L127" s="6"/>
      <c r="M127" s="35"/>
      <c r="N127" s="13"/>
      <c r="O127" s="25">
        <v>2</v>
      </c>
      <c r="P127" s="6"/>
      <c r="Q127" s="6"/>
      <c r="R127" s="35"/>
      <c r="S127" s="13"/>
      <c r="T127" s="76">
        <v>1</v>
      </c>
      <c r="U127" s="6"/>
      <c r="V127" s="6"/>
      <c r="W127" s="6"/>
      <c r="X127" s="6">
        <v>4</v>
      </c>
      <c r="Y127" s="22">
        <f t="shared" si="2"/>
        <v>7</v>
      </c>
      <c r="Z127" s="40">
        <v>70000</v>
      </c>
    </row>
    <row r="128" spans="1:26" ht="27.65" customHeight="1" x14ac:dyDescent="0.25">
      <c r="A128" s="17">
        <v>64</v>
      </c>
      <c r="B128" s="63" t="s">
        <v>216</v>
      </c>
      <c r="C128" s="63" t="s">
        <v>71</v>
      </c>
      <c r="D128" s="63" t="s">
        <v>21</v>
      </c>
      <c r="E128" s="62" t="s">
        <v>41</v>
      </c>
      <c r="F128" s="53">
        <v>45981</v>
      </c>
      <c r="G128" s="22"/>
      <c r="H128" s="25"/>
      <c r="I128" s="13"/>
      <c r="J128" s="25">
        <v>1</v>
      </c>
      <c r="K128" s="76"/>
      <c r="L128" s="6">
        <v>2</v>
      </c>
      <c r="M128" s="35">
        <v>1</v>
      </c>
      <c r="N128" s="13"/>
      <c r="O128" s="25"/>
      <c r="P128" s="6">
        <v>1</v>
      </c>
      <c r="Q128" s="6"/>
      <c r="R128" s="35"/>
      <c r="S128" s="13"/>
      <c r="T128" s="76"/>
      <c r="U128" s="6"/>
      <c r="V128" s="6"/>
      <c r="W128" s="6"/>
      <c r="X128" s="6"/>
      <c r="Y128" s="22">
        <f t="shared" si="2"/>
        <v>5</v>
      </c>
      <c r="Z128" s="40">
        <v>70000</v>
      </c>
    </row>
    <row r="129" spans="1:26" ht="27.65" customHeight="1" x14ac:dyDescent="0.25">
      <c r="A129" s="17">
        <v>65</v>
      </c>
      <c r="B129" s="63" t="s">
        <v>216</v>
      </c>
      <c r="C129" s="63" t="s">
        <v>71</v>
      </c>
      <c r="D129" s="63" t="s">
        <v>21</v>
      </c>
      <c r="E129" s="62" t="s">
        <v>41</v>
      </c>
      <c r="F129" s="53">
        <v>45982</v>
      </c>
      <c r="G129" s="22"/>
      <c r="H129" s="25"/>
      <c r="I129" s="13"/>
      <c r="J129" s="25">
        <v>2</v>
      </c>
      <c r="K129" s="76"/>
      <c r="L129" s="6"/>
      <c r="M129" s="35"/>
      <c r="N129" s="13">
        <v>1</v>
      </c>
      <c r="O129" s="25"/>
      <c r="P129" s="6"/>
      <c r="Q129" s="6"/>
      <c r="R129" s="35"/>
      <c r="S129" s="13">
        <v>1</v>
      </c>
      <c r="T129" s="76"/>
      <c r="U129" s="6"/>
      <c r="V129" s="6"/>
      <c r="W129" s="6"/>
      <c r="X129" s="6"/>
      <c r="Y129" s="22">
        <f t="shared" si="2"/>
        <v>4</v>
      </c>
      <c r="Z129" s="40">
        <v>50000</v>
      </c>
    </row>
    <row r="130" spans="1:26" ht="27.65" customHeight="1" x14ac:dyDescent="0.25">
      <c r="A130" s="17">
        <v>66</v>
      </c>
      <c r="B130" s="63" t="s">
        <v>217</v>
      </c>
      <c r="C130" s="63" t="s">
        <v>71</v>
      </c>
      <c r="D130" s="63" t="s">
        <v>21</v>
      </c>
      <c r="E130" s="62" t="s">
        <v>41</v>
      </c>
      <c r="F130" s="53">
        <v>45982</v>
      </c>
      <c r="G130" s="22"/>
      <c r="H130" s="25"/>
      <c r="I130" s="13"/>
      <c r="J130" s="25"/>
      <c r="K130" s="76"/>
      <c r="L130" s="6"/>
      <c r="M130" s="35"/>
      <c r="N130" s="13"/>
      <c r="O130" s="25"/>
      <c r="P130" s="6"/>
      <c r="Q130" s="6"/>
      <c r="R130" s="35"/>
      <c r="S130" s="13"/>
      <c r="T130" s="76"/>
      <c r="U130" s="6"/>
      <c r="V130" s="6"/>
      <c r="W130" s="6">
        <v>1</v>
      </c>
      <c r="X130" s="6">
        <v>3</v>
      </c>
      <c r="Y130" s="22">
        <f t="shared" ref="Y130:Y132" si="5">SUM(G130:X130)</f>
        <v>4</v>
      </c>
      <c r="Z130" s="40">
        <v>10000</v>
      </c>
    </row>
    <row r="131" spans="1:26" ht="27.65" customHeight="1" x14ac:dyDescent="0.25">
      <c r="A131" s="17"/>
      <c r="B131" s="63" t="s">
        <v>218</v>
      </c>
      <c r="C131" s="63" t="s">
        <v>71</v>
      </c>
      <c r="D131" s="63" t="s">
        <v>20</v>
      </c>
      <c r="E131" s="62" t="s">
        <v>41</v>
      </c>
      <c r="F131" s="53">
        <v>45982</v>
      </c>
      <c r="G131" s="22"/>
      <c r="H131" s="25"/>
      <c r="I131" s="13"/>
      <c r="J131" s="25">
        <v>1</v>
      </c>
      <c r="K131" s="76"/>
      <c r="L131" s="6"/>
      <c r="M131" s="35">
        <v>1</v>
      </c>
      <c r="N131" s="13"/>
      <c r="O131" s="25"/>
      <c r="P131" s="6"/>
      <c r="Q131" s="6"/>
      <c r="R131" s="35"/>
      <c r="S131" s="13"/>
      <c r="T131" s="76"/>
      <c r="U131" s="6"/>
      <c r="V131" s="6"/>
      <c r="W131" s="6"/>
      <c r="X131" s="6"/>
      <c r="Y131" s="22">
        <f t="shared" si="5"/>
        <v>2</v>
      </c>
      <c r="Z131" s="40">
        <v>35000</v>
      </c>
    </row>
    <row r="132" spans="1:26" ht="27.65" customHeight="1" x14ac:dyDescent="0.25">
      <c r="A132" s="17"/>
      <c r="B132" s="63" t="s">
        <v>80</v>
      </c>
      <c r="C132" s="90" t="s">
        <v>71</v>
      </c>
      <c r="D132" s="63" t="s">
        <v>20</v>
      </c>
      <c r="E132" s="54" t="s">
        <v>42</v>
      </c>
      <c r="F132" s="53">
        <v>45985</v>
      </c>
      <c r="G132" s="22"/>
      <c r="H132" s="25"/>
      <c r="I132" s="13"/>
      <c r="J132" s="25"/>
      <c r="K132" s="76"/>
      <c r="L132" s="6"/>
      <c r="M132" s="35"/>
      <c r="N132" s="13"/>
      <c r="O132" s="25">
        <v>1</v>
      </c>
      <c r="P132" s="6"/>
      <c r="Q132" s="6"/>
      <c r="R132" s="35"/>
      <c r="S132" s="13"/>
      <c r="T132" s="102"/>
      <c r="U132" s="6"/>
      <c r="V132" s="6"/>
      <c r="W132" s="6"/>
      <c r="X132" s="6"/>
      <c r="Y132" s="22">
        <f t="shared" si="5"/>
        <v>1</v>
      </c>
      <c r="Z132" s="40">
        <v>25000</v>
      </c>
    </row>
    <row r="133" spans="1:26" ht="27.65" customHeight="1" x14ac:dyDescent="0.25">
      <c r="A133" s="17">
        <v>67</v>
      </c>
      <c r="B133" s="63" t="s">
        <v>224</v>
      </c>
      <c r="C133" s="63" t="s">
        <v>71</v>
      </c>
      <c r="D133" s="63" t="s">
        <v>21</v>
      </c>
      <c r="E133" s="3" t="s">
        <v>41</v>
      </c>
      <c r="F133" s="53">
        <v>45986</v>
      </c>
      <c r="G133" s="22"/>
      <c r="H133" s="25"/>
      <c r="I133" s="13"/>
      <c r="J133" s="25">
        <v>1</v>
      </c>
      <c r="K133" s="76">
        <v>1</v>
      </c>
      <c r="L133" s="6"/>
      <c r="M133" s="35">
        <v>1</v>
      </c>
      <c r="N133" s="13"/>
      <c r="O133" s="25"/>
      <c r="P133" s="6"/>
      <c r="Q133" s="6"/>
      <c r="R133" s="35"/>
      <c r="S133" s="13"/>
      <c r="T133" s="102"/>
      <c r="U133" s="6"/>
      <c r="V133" s="6"/>
      <c r="W133" s="6"/>
      <c r="X133" s="6"/>
      <c r="Y133" s="22">
        <f t="shared" si="2"/>
        <v>3</v>
      </c>
      <c r="Z133" s="40">
        <v>25000</v>
      </c>
    </row>
    <row r="134" spans="1:26" ht="27.65" customHeight="1" x14ac:dyDescent="0.25">
      <c r="A134" s="17"/>
      <c r="B134" s="63" t="s">
        <v>219</v>
      </c>
      <c r="C134" s="63" t="s">
        <v>71</v>
      </c>
      <c r="D134" s="63" t="s">
        <v>20</v>
      </c>
      <c r="E134" s="91" t="s">
        <v>41</v>
      </c>
      <c r="F134" s="53">
        <v>45986</v>
      </c>
      <c r="G134" s="22"/>
      <c r="H134" s="27"/>
      <c r="I134" s="37"/>
      <c r="J134" s="25"/>
      <c r="K134" s="76">
        <v>1</v>
      </c>
      <c r="L134" s="6"/>
      <c r="M134" s="6"/>
      <c r="N134" s="35"/>
      <c r="O134" s="25"/>
      <c r="P134" s="6"/>
      <c r="Q134" s="6"/>
      <c r="R134" s="6">
        <v>1</v>
      </c>
      <c r="S134" s="13"/>
      <c r="T134" s="71"/>
      <c r="U134" s="28"/>
      <c r="V134" s="28"/>
      <c r="W134" s="28"/>
      <c r="X134" s="6"/>
      <c r="Y134" s="22">
        <f t="shared" si="2"/>
        <v>2</v>
      </c>
      <c r="Z134" s="40">
        <v>15000</v>
      </c>
    </row>
    <row r="135" spans="1:26" ht="27.65" customHeight="1" x14ac:dyDescent="0.25">
      <c r="A135" s="17">
        <v>68</v>
      </c>
      <c r="B135" s="63" t="s">
        <v>68</v>
      </c>
      <c r="C135" s="63" t="s">
        <v>71</v>
      </c>
      <c r="D135" s="63" t="s">
        <v>21</v>
      </c>
      <c r="E135" s="3" t="s">
        <v>72</v>
      </c>
      <c r="F135" s="53">
        <v>45987</v>
      </c>
      <c r="G135" s="22"/>
      <c r="H135" s="25"/>
      <c r="I135" s="13"/>
      <c r="J135" s="25"/>
      <c r="K135" s="76"/>
      <c r="L135" s="6"/>
      <c r="M135" s="35"/>
      <c r="N135" s="13">
        <v>1</v>
      </c>
      <c r="O135" s="25"/>
      <c r="P135" s="6"/>
      <c r="Q135" s="6"/>
      <c r="R135" s="35"/>
      <c r="S135" s="13"/>
      <c r="T135" s="76"/>
      <c r="U135" s="6"/>
      <c r="V135" s="6"/>
      <c r="W135" s="6"/>
      <c r="X135" s="6"/>
      <c r="Y135" s="22">
        <f t="shared" si="2"/>
        <v>1</v>
      </c>
      <c r="Z135" s="40">
        <v>60000</v>
      </c>
    </row>
    <row r="136" spans="1:26" ht="27.65" customHeight="1" x14ac:dyDescent="0.25">
      <c r="A136" s="17"/>
      <c r="B136" s="63" t="s">
        <v>220</v>
      </c>
      <c r="C136" s="63" t="s">
        <v>71</v>
      </c>
      <c r="D136" s="63" t="s">
        <v>20</v>
      </c>
      <c r="E136" s="3" t="s">
        <v>43</v>
      </c>
      <c r="F136" s="53">
        <v>45988</v>
      </c>
      <c r="G136" s="22">
        <v>2</v>
      </c>
      <c r="H136" s="27"/>
      <c r="I136" s="37"/>
      <c r="J136" s="25"/>
      <c r="K136" s="76"/>
      <c r="L136" s="6"/>
      <c r="M136" s="6"/>
      <c r="N136" s="35"/>
      <c r="O136" s="25"/>
      <c r="P136" s="6"/>
      <c r="Q136" s="6">
        <v>1</v>
      </c>
      <c r="R136" s="6"/>
      <c r="S136" s="13"/>
      <c r="T136" s="71"/>
      <c r="U136" s="28"/>
      <c r="V136" s="28"/>
      <c r="W136" s="28"/>
      <c r="X136" s="28"/>
      <c r="Y136" s="22">
        <f t="shared" ref="Y136:Y149" si="6">SUM(G136:X136)</f>
        <v>3</v>
      </c>
      <c r="Z136" s="40">
        <v>20000</v>
      </c>
    </row>
    <row r="137" spans="1:26" ht="27.65" customHeight="1" x14ac:dyDescent="0.25">
      <c r="A137" s="17"/>
      <c r="B137" s="63" t="s">
        <v>221</v>
      </c>
      <c r="C137" s="63" t="s">
        <v>71</v>
      </c>
      <c r="D137" s="63" t="s">
        <v>20</v>
      </c>
      <c r="E137" s="3" t="s">
        <v>43</v>
      </c>
      <c r="F137" s="53">
        <v>45991</v>
      </c>
      <c r="G137" s="22"/>
      <c r="H137" s="27"/>
      <c r="I137" s="37"/>
      <c r="J137" s="25"/>
      <c r="K137" s="76"/>
      <c r="L137" s="6"/>
      <c r="M137" s="6"/>
      <c r="N137" s="35">
        <v>2</v>
      </c>
      <c r="O137" s="25"/>
      <c r="P137" s="6"/>
      <c r="Q137" s="6"/>
      <c r="R137" s="6"/>
      <c r="S137" s="13"/>
      <c r="T137" s="71"/>
      <c r="U137" s="28"/>
      <c r="V137" s="28"/>
      <c r="W137" s="28"/>
      <c r="X137" s="28"/>
      <c r="Y137" s="22">
        <f t="shared" si="6"/>
        <v>2</v>
      </c>
      <c r="Z137" s="40">
        <v>15000</v>
      </c>
    </row>
    <row r="138" spans="1:26" ht="27.65" customHeight="1" x14ac:dyDescent="0.25">
      <c r="A138" s="17"/>
      <c r="B138" s="63" t="s">
        <v>222</v>
      </c>
      <c r="C138" s="63" t="s">
        <v>71</v>
      </c>
      <c r="D138" s="63" t="s">
        <v>20</v>
      </c>
      <c r="E138" s="3" t="s">
        <v>72</v>
      </c>
      <c r="F138" s="53">
        <v>45993</v>
      </c>
      <c r="G138" s="22"/>
      <c r="H138" s="27"/>
      <c r="I138" s="37"/>
      <c r="J138" s="25"/>
      <c r="K138" s="76">
        <v>1</v>
      </c>
      <c r="L138" s="6"/>
      <c r="M138" s="6"/>
      <c r="N138" s="35"/>
      <c r="O138" s="25"/>
      <c r="P138" s="6"/>
      <c r="Q138" s="6"/>
      <c r="R138" s="6"/>
      <c r="S138" s="13"/>
      <c r="T138" s="71"/>
      <c r="U138" s="28"/>
      <c r="V138" s="28"/>
      <c r="W138" s="28"/>
      <c r="X138" s="28"/>
      <c r="Y138" s="22">
        <f t="shared" si="6"/>
        <v>1</v>
      </c>
      <c r="Z138" s="40">
        <v>30000</v>
      </c>
    </row>
    <row r="139" spans="1:26" ht="27.65" customHeight="1" x14ac:dyDescent="0.25">
      <c r="A139" s="17">
        <v>69</v>
      </c>
      <c r="B139" s="63" t="s">
        <v>225</v>
      </c>
      <c r="C139" s="63" t="s">
        <v>71</v>
      </c>
      <c r="D139" s="63" t="s">
        <v>21</v>
      </c>
      <c r="E139" s="3" t="s">
        <v>42</v>
      </c>
      <c r="F139" s="53">
        <v>45993</v>
      </c>
      <c r="G139" s="22"/>
      <c r="H139" s="25"/>
      <c r="I139" s="13"/>
      <c r="J139" s="25"/>
      <c r="K139" s="76"/>
      <c r="L139" s="6"/>
      <c r="M139" s="6"/>
      <c r="N139" s="13"/>
      <c r="O139" s="25"/>
      <c r="P139" s="6">
        <v>1</v>
      </c>
      <c r="Q139" s="6"/>
      <c r="R139" s="35"/>
      <c r="S139" s="13"/>
      <c r="T139" s="76"/>
      <c r="U139" s="6"/>
      <c r="V139" s="6"/>
      <c r="W139" s="6"/>
      <c r="X139" s="6"/>
      <c r="Y139" s="22">
        <f t="shared" si="6"/>
        <v>1</v>
      </c>
      <c r="Z139" s="40">
        <v>30000</v>
      </c>
    </row>
    <row r="140" spans="1:26" ht="27.65" customHeight="1" x14ac:dyDescent="0.25">
      <c r="A140" s="17">
        <v>70</v>
      </c>
      <c r="B140" s="63" t="s">
        <v>226</v>
      </c>
      <c r="C140" s="63" t="s">
        <v>71</v>
      </c>
      <c r="D140" s="63" t="s">
        <v>21</v>
      </c>
      <c r="E140" s="3" t="s">
        <v>41</v>
      </c>
      <c r="F140" s="53">
        <v>45994</v>
      </c>
      <c r="G140" s="22"/>
      <c r="H140" s="25"/>
      <c r="I140" s="13"/>
      <c r="J140" s="25"/>
      <c r="K140" s="76"/>
      <c r="L140" s="6"/>
      <c r="M140" s="35"/>
      <c r="N140" s="13"/>
      <c r="O140" s="25"/>
      <c r="P140" s="6"/>
      <c r="Q140" s="6"/>
      <c r="R140" s="35"/>
      <c r="S140" s="13"/>
      <c r="T140" s="76"/>
      <c r="U140" s="6"/>
      <c r="V140" s="6"/>
      <c r="W140" s="6"/>
      <c r="X140" s="6"/>
      <c r="Y140" s="22">
        <f t="shared" si="6"/>
        <v>0</v>
      </c>
      <c r="Z140" s="40"/>
    </row>
    <row r="141" spans="1:26" ht="27.65" customHeight="1" x14ac:dyDescent="0.25">
      <c r="A141" s="17">
        <v>71</v>
      </c>
      <c r="B141" s="63" t="s">
        <v>90</v>
      </c>
      <c r="C141" s="63" t="s">
        <v>71</v>
      </c>
      <c r="D141" s="63" t="s">
        <v>21</v>
      </c>
      <c r="E141" s="3" t="s">
        <v>42</v>
      </c>
      <c r="F141" s="53">
        <v>45994</v>
      </c>
      <c r="G141" s="22"/>
      <c r="H141" s="25"/>
      <c r="I141" s="13"/>
      <c r="J141" s="25"/>
      <c r="K141" s="76"/>
      <c r="L141" s="6"/>
      <c r="M141" s="35"/>
      <c r="N141" s="13"/>
      <c r="O141" s="25"/>
      <c r="P141" s="6"/>
      <c r="Q141" s="6"/>
      <c r="R141" s="35"/>
      <c r="S141" s="13"/>
      <c r="T141" s="103"/>
      <c r="U141" s="38"/>
      <c r="V141" s="6"/>
      <c r="W141" s="6"/>
      <c r="X141" s="6">
        <v>1</v>
      </c>
      <c r="Y141" s="22">
        <f t="shared" si="6"/>
        <v>1</v>
      </c>
      <c r="Z141" s="40">
        <v>30000</v>
      </c>
    </row>
    <row r="142" spans="1:26" ht="27.65" customHeight="1" x14ac:dyDescent="0.25">
      <c r="A142" s="17"/>
      <c r="B142" s="63" t="s">
        <v>229</v>
      </c>
      <c r="C142" s="63" t="s">
        <v>71</v>
      </c>
      <c r="D142" s="63" t="s">
        <v>20</v>
      </c>
      <c r="E142" s="3" t="s">
        <v>41</v>
      </c>
      <c r="F142" s="53">
        <v>45994</v>
      </c>
      <c r="G142" s="22"/>
      <c r="H142" s="27"/>
      <c r="I142" s="37"/>
      <c r="J142" s="25"/>
      <c r="K142" s="76"/>
      <c r="L142" s="6">
        <v>2</v>
      </c>
      <c r="M142" s="6">
        <v>1</v>
      </c>
      <c r="N142" s="35"/>
      <c r="O142" s="25"/>
      <c r="P142" s="6">
        <v>1</v>
      </c>
      <c r="Q142" s="6"/>
      <c r="R142" s="6"/>
      <c r="S142" s="13">
        <v>1</v>
      </c>
      <c r="T142" s="71"/>
      <c r="U142" s="28"/>
      <c r="V142" s="28"/>
      <c r="W142" s="28"/>
      <c r="X142" s="28"/>
      <c r="Y142" s="22">
        <f t="shared" si="6"/>
        <v>5</v>
      </c>
      <c r="Z142" s="40">
        <v>41666</v>
      </c>
    </row>
    <row r="143" spans="1:26" ht="27.65" customHeight="1" x14ac:dyDescent="0.25">
      <c r="A143" s="17">
        <v>72</v>
      </c>
      <c r="B143" s="63" t="s">
        <v>185</v>
      </c>
      <c r="C143" s="63" t="s">
        <v>71</v>
      </c>
      <c r="D143" s="63" t="s">
        <v>21</v>
      </c>
      <c r="E143" s="3" t="s">
        <v>42</v>
      </c>
      <c r="F143" s="53">
        <v>45994</v>
      </c>
      <c r="G143" s="26"/>
      <c r="H143" s="27"/>
      <c r="I143" s="14"/>
      <c r="J143" s="27"/>
      <c r="K143" s="71"/>
      <c r="L143" s="28"/>
      <c r="M143" s="37"/>
      <c r="N143" s="14"/>
      <c r="O143" s="27"/>
      <c r="P143" s="28"/>
      <c r="Q143" s="28"/>
      <c r="R143" s="37"/>
      <c r="S143" s="13"/>
      <c r="T143" s="71"/>
      <c r="U143" s="28"/>
      <c r="V143" s="28"/>
      <c r="W143" s="28">
        <v>1</v>
      </c>
      <c r="X143" s="28"/>
      <c r="Y143" s="22">
        <f t="shared" si="6"/>
        <v>1</v>
      </c>
      <c r="Z143" s="40">
        <v>20000</v>
      </c>
    </row>
    <row r="144" spans="1:26" ht="27.65" customHeight="1" x14ac:dyDescent="0.25">
      <c r="A144" s="17">
        <v>73</v>
      </c>
      <c r="B144" s="63" t="s">
        <v>232</v>
      </c>
      <c r="C144" s="63" t="s">
        <v>71</v>
      </c>
      <c r="D144" s="63" t="s">
        <v>21</v>
      </c>
      <c r="E144" s="3" t="s">
        <v>41</v>
      </c>
      <c r="F144" s="53">
        <v>45996</v>
      </c>
      <c r="G144" s="22"/>
      <c r="H144" s="25"/>
      <c r="I144" s="13"/>
      <c r="J144" s="25"/>
      <c r="K144" s="76"/>
      <c r="L144" s="6"/>
      <c r="M144" s="35">
        <v>1</v>
      </c>
      <c r="N144" s="13"/>
      <c r="O144" s="25"/>
      <c r="P144" s="6"/>
      <c r="Q144" s="6"/>
      <c r="R144" s="35"/>
      <c r="S144" s="13"/>
      <c r="T144" s="102"/>
      <c r="U144" s="6"/>
      <c r="V144" s="6"/>
      <c r="W144" s="6"/>
      <c r="X144" s="6"/>
      <c r="Y144" s="22">
        <f>SUM(G144:X144)</f>
        <v>1</v>
      </c>
      <c r="Z144" s="40">
        <v>35000</v>
      </c>
    </row>
    <row r="145" spans="1:26" ht="27.65" customHeight="1" x14ac:dyDescent="0.25">
      <c r="A145" s="17">
        <v>74</v>
      </c>
      <c r="B145" s="63" t="s">
        <v>231</v>
      </c>
      <c r="C145" s="63" t="s">
        <v>71</v>
      </c>
      <c r="D145" s="63" t="s">
        <v>21</v>
      </c>
      <c r="E145" s="3" t="s">
        <v>84</v>
      </c>
      <c r="F145" s="53">
        <v>45997</v>
      </c>
      <c r="G145" s="26"/>
      <c r="H145" s="27"/>
      <c r="I145" s="14"/>
      <c r="J145" s="27"/>
      <c r="K145" s="71">
        <v>2</v>
      </c>
      <c r="L145" s="28">
        <v>2</v>
      </c>
      <c r="M145" s="37">
        <v>1</v>
      </c>
      <c r="N145" s="14"/>
      <c r="O145" s="27"/>
      <c r="P145" s="28"/>
      <c r="Q145" s="28"/>
      <c r="R145" s="37"/>
      <c r="S145" s="13"/>
      <c r="T145" s="71"/>
      <c r="U145" s="28"/>
      <c r="V145" s="28"/>
      <c r="W145" s="28"/>
      <c r="X145" s="28"/>
      <c r="Y145" s="22">
        <f t="shared" si="6"/>
        <v>5</v>
      </c>
      <c r="Z145" s="40">
        <v>40000</v>
      </c>
    </row>
    <row r="146" spans="1:26" ht="27.65" customHeight="1" x14ac:dyDescent="0.25">
      <c r="A146" s="17">
        <v>75</v>
      </c>
      <c r="B146" s="63" t="s">
        <v>233</v>
      </c>
      <c r="C146" s="63" t="s">
        <v>71</v>
      </c>
      <c r="D146" s="63" t="s">
        <v>21</v>
      </c>
      <c r="E146" s="3" t="s">
        <v>41</v>
      </c>
      <c r="F146" s="53">
        <v>45997</v>
      </c>
      <c r="G146" s="22"/>
      <c r="H146" s="25"/>
      <c r="I146" s="13"/>
      <c r="J146" s="25"/>
      <c r="K146" s="76"/>
      <c r="L146" s="6">
        <v>1</v>
      </c>
      <c r="M146" s="35"/>
      <c r="N146" s="13">
        <v>1</v>
      </c>
      <c r="O146" s="25"/>
      <c r="P146" s="6"/>
      <c r="Q146" s="6"/>
      <c r="R146" s="35"/>
      <c r="S146" s="13"/>
      <c r="T146" s="102"/>
      <c r="U146" s="6"/>
      <c r="V146" s="6"/>
      <c r="W146" s="6"/>
      <c r="X146" s="6"/>
      <c r="Y146" s="22">
        <f t="shared" si="6"/>
        <v>2</v>
      </c>
      <c r="Z146" s="40">
        <v>30000</v>
      </c>
    </row>
    <row r="147" spans="1:26" ht="27.65" customHeight="1" x14ac:dyDescent="0.25">
      <c r="A147" s="17">
        <v>76</v>
      </c>
      <c r="B147" s="63" t="s">
        <v>234</v>
      </c>
      <c r="C147" s="63" t="s">
        <v>71</v>
      </c>
      <c r="D147" s="63" t="s">
        <v>21</v>
      </c>
      <c r="E147" s="3" t="s">
        <v>42</v>
      </c>
      <c r="F147" s="53">
        <v>45999</v>
      </c>
      <c r="G147" s="22"/>
      <c r="H147" s="25"/>
      <c r="I147" s="13"/>
      <c r="J147" s="25"/>
      <c r="K147" s="76"/>
      <c r="L147" s="6"/>
      <c r="M147" s="35"/>
      <c r="N147" s="13"/>
      <c r="O147" s="25"/>
      <c r="P147" s="6">
        <v>1</v>
      </c>
      <c r="Q147" s="6"/>
      <c r="R147" s="35"/>
      <c r="S147" s="13"/>
      <c r="T147" s="76"/>
      <c r="U147" s="6"/>
      <c r="V147" s="6"/>
      <c r="W147" s="6"/>
      <c r="X147" s="6">
        <v>3</v>
      </c>
      <c r="Y147" s="22">
        <f t="shared" si="6"/>
        <v>4</v>
      </c>
      <c r="Z147" s="40" t="s">
        <v>241</v>
      </c>
    </row>
    <row r="148" spans="1:26" ht="27.65" customHeight="1" x14ac:dyDescent="0.25">
      <c r="A148" s="17">
        <v>77</v>
      </c>
      <c r="B148" s="63" t="s">
        <v>239</v>
      </c>
      <c r="C148" s="63" t="s">
        <v>71</v>
      </c>
      <c r="D148" s="63" t="s">
        <v>21</v>
      </c>
      <c r="E148" s="3" t="s">
        <v>41</v>
      </c>
      <c r="F148" s="53">
        <v>46001</v>
      </c>
      <c r="G148" s="22"/>
      <c r="H148" s="25"/>
      <c r="I148" s="13"/>
      <c r="J148" s="25"/>
      <c r="K148" s="76"/>
      <c r="L148" s="6"/>
      <c r="M148" s="35"/>
      <c r="N148" s="13">
        <v>1</v>
      </c>
      <c r="O148" s="25"/>
      <c r="P148" s="6"/>
      <c r="Q148" s="6"/>
      <c r="R148" s="35"/>
      <c r="S148" s="13">
        <v>1</v>
      </c>
      <c r="T148" s="76"/>
      <c r="U148" s="6"/>
      <c r="V148" s="6"/>
      <c r="W148" s="6"/>
      <c r="X148" s="6"/>
      <c r="Y148" s="22">
        <f t="shared" si="6"/>
        <v>2</v>
      </c>
      <c r="Z148" s="40">
        <v>25000</v>
      </c>
    </row>
    <row r="149" spans="1:26" ht="27.65" customHeight="1" x14ac:dyDescent="0.25">
      <c r="A149" s="17"/>
      <c r="B149" s="63" t="s">
        <v>238</v>
      </c>
      <c r="C149" s="63" t="s">
        <v>71</v>
      </c>
      <c r="D149" s="63" t="s">
        <v>20</v>
      </c>
      <c r="E149" s="3" t="s">
        <v>41</v>
      </c>
      <c r="F149" s="53">
        <v>46004</v>
      </c>
      <c r="G149" s="22"/>
      <c r="H149" s="25"/>
      <c r="I149" s="13"/>
      <c r="J149" s="25"/>
      <c r="K149" s="76"/>
      <c r="L149" s="6">
        <v>1</v>
      </c>
      <c r="M149" s="35"/>
      <c r="N149" s="13"/>
      <c r="O149" s="25"/>
      <c r="P149" s="6"/>
      <c r="Q149" s="6"/>
      <c r="R149" s="35"/>
      <c r="S149" s="13"/>
      <c r="T149" s="76"/>
      <c r="U149" s="6"/>
      <c r="V149" s="6"/>
      <c r="W149" s="6"/>
      <c r="X149" s="6"/>
      <c r="Y149" s="22">
        <f t="shared" si="6"/>
        <v>1</v>
      </c>
      <c r="Z149" s="40">
        <v>35000</v>
      </c>
    </row>
    <row r="150" spans="1:26" ht="27.65" customHeight="1" x14ac:dyDescent="0.25">
      <c r="A150" s="17">
        <v>78</v>
      </c>
      <c r="B150" s="63" t="s">
        <v>240</v>
      </c>
      <c r="C150" s="63" t="s">
        <v>71</v>
      </c>
      <c r="D150" s="63" t="s">
        <v>21</v>
      </c>
      <c r="E150" s="3" t="s">
        <v>72</v>
      </c>
      <c r="F150" s="53">
        <v>46006</v>
      </c>
      <c r="G150" s="22"/>
      <c r="H150" s="25"/>
      <c r="I150" s="13"/>
      <c r="J150" s="25"/>
      <c r="K150" s="76">
        <v>1</v>
      </c>
      <c r="L150" s="6">
        <v>1</v>
      </c>
      <c r="M150" s="35">
        <v>1</v>
      </c>
      <c r="N150" s="13"/>
      <c r="O150" s="25"/>
      <c r="P150" s="6"/>
      <c r="Q150" s="6"/>
      <c r="R150" s="35"/>
      <c r="S150" s="13">
        <v>1</v>
      </c>
      <c r="T150" s="102"/>
      <c r="U150" s="6"/>
      <c r="V150" s="6"/>
      <c r="W150" s="6"/>
      <c r="X150" s="6"/>
      <c r="Y150" s="22">
        <f t="shared" ref="Y150" si="7">SUM(G150:X150)</f>
        <v>4</v>
      </c>
      <c r="Z150" s="40">
        <v>40000</v>
      </c>
    </row>
    <row r="151" spans="1:26" ht="27.65" customHeight="1" thickBot="1" x14ac:dyDescent="0.3">
      <c r="A151" s="63"/>
      <c r="B151" s="63"/>
      <c r="C151" s="63"/>
      <c r="D151" s="63"/>
      <c r="E151" s="3"/>
      <c r="F151" s="69"/>
      <c r="G151" s="26"/>
      <c r="H151" s="27"/>
      <c r="I151" s="14"/>
      <c r="J151" s="27"/>
      <c r="K151" s="28"/>
      <c r="L151" s="28"/>
      <c r="M151" s="28"/>
      <c r="N151" s="14"/>
      <c r="O151" s="27"/>
      <c r="P151" s="28"/>
      <c r="Q151" s="28"/>
      <c r="R151" s="37"/>
      <c r="S151" s="14"/>
      <c r="T151" s="71"/>
      <c r="U151" s="28"/>
      <c r="V151" s="28"/>
      <c r="W151" s="28"/>
      <c r="X151" s="28"/>
      <c r="Y151" s="128"/>
      <c r="Z151" s="146"/>
    </row>
    <row r="152" spans="1:26" s="4" customFormat="1" ht="27.65" customHeight="1" thickBot="1" x14ac:dyDescent="0.3">
      <c r="A152" s="6"/>
      <c r="B152" s="6"/>
      <c r="C152" s="6"/>
      <c r="D152" s="6"/>
      <c r="E152" s="3"/>
      <c r="F152" s="144"/>
      <c r="G152" s="5">
        <f t="shared" ref="G152:Y152" si="8">SUM(G5:G151)</f>
        <v>3</v>
      </c>
      <c r="H152" s="12">
        <f t="shared" si="8"/>
        <v>4</v>
      </c>
      <c r="I152" s="16">
        <f t="shared" si="8"/>
        <v>5</v>
      </c>
      <c r="J152" s="12">
        <f t="shared" si="8"/>
        <v>108</v>
      </c>
      <c r="K152" s="34">
        <f t="shared" si="8"/>
        <v>90</v>
      </c>
      <c r="L152" s="34">
        <f t="shared" si="8"/>
        <v>92</v>
      </c>
      <c r="M152" s="34">
        <f t="shared" si="8"/>
        <v>99</v>
      </c>
      <c r="N152" s="16">
        <f t="shared" si="8"/>
        <v>76</v>
      </c>
      <c r="O152" s="12">
        <f t="shared" si="8"/>
        <v>8</v>
      </c>
      <c r="P152" s="34">
        <f t="shared" si="8"/>
        <v>69</v>
      </c>
      <c r="Q152" s="34">
        <f t="shared" si="8"/>
        <v>25</v>
      </c>
      <c r="R152" s="116">
        <f t="shared" si="8"/>
        <v>22</v>
      </c>
      <c r="S152" s="5">
        <f t="shared" si="8"/>
        <v>22</v>
      </c>
      <c r="T152" s="115">
        <f t="shared" si="8"/>
        <v>6</v>
      </c>
      <c r="U152" s="34">
        <f t="shared" si="8"/>
        <v>2</v>
      </c>
      <c r="V152" s="34">
        <f t="shared" si="8"/>
        <v>4</v>
      </c>
      <c r="W152" s="34">
        <f t="shared" si="8"/>
        <v>32</v>
      </c>
      <c r="X152" s="34">
        <f t="shared" si="8"/>
        <v>32</v>
      </c>
      <c r="Y152" s="61">
        <f t="shared" si="8"/>
        <v>699</v>
      </c>
      <c r="Z152" s="36"/>
    </row>
  </sheetData>
  <mergeCells count="6">
    <mergeCell ref="A1:Z1"/>
    <mergeCell ref="A2:F2"/>
    <mergeCell ref="H2:I2"/>
    <mergeCell ref="J2:N2"/>
    <mergeCell ref="T2:X2"/>
    <mergeCell ref="O2:S2"/>
  </mergeCells>
  <pageMargins left="0.7" right="0.7" top="0.75" bottom="0.75" header="0.3" footer="0.3"/>
  <pageSetup orientation="portrait" r:id="rId1"/>
  <ignoredErrors>
    <ignoredError sqref="Y13:Y1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B2AB-FCCC-49D7-A6A2-7EC87BCF514D}">
  <dimension ref="A1:K1113"/>
  <sheetViews>
    <sheetView showGridLines="0" tabSelected="1" topLeftCell="A3" workbookViewId="0">
      <selection activeCell="G4" sqref="G2:G1113"/>
    </sheetView>
  </sheetViews>
  <sheetFormatPr defaultColWidth="8.90625" defaultRowHeight="30" customHeight="1" x14ac:dyDescent="0.25"/>
  <cols>
    <col min="1" max="1" width="6.81640625" style="158" bestFit="1" customWidth="1"/>
    <col min="2" max="2" width="12.08984375" style="158" bestFit="1" customWidth="1"/>
    <col min="3" max="3" width="45.90625" style="158" customWidth="1"/>
    <col min="4" max="4" width="6.54296875" style="158" bestFit="1" customWidth="1"/>
    <col min="5" max="5" width="13.453125" style="158" bestFit="1" customWidth="1"/>
    <col min="6" max="6" width="40.81640625" style="158" bestFit="1" customWidth="1"/>
    <col min="7" max="7" width="36.453125" style="158" bestFit="1" customWidth="1"/>
    <col min="8" max="8" width="36.1796875" style="158" bestFit="1" customWidth="1"/>
    <col min="9" max="9" width="12" style="158" bestFit="1" customWidth="1"/>
    <col min="10" max="10" width="9.6328125" style="158" bestFit="1" customWidth="1"/>
    <col min="11" max="11" width="9.1796875" style="158" bestFit="1" customWidth="1"/>
    <col min="12" max="16384" width="8.90625" style="158"/>
  </cols>
  <sheetData>
    <row r="1" spans="1:11" ht="30" customHeight="1" x14ac:dyDescent="0.25">
      <c r="A1" s="157" t="s">
        <v>242</v>
      </c>
      <c r="B1" s="157" t="s">
        <v>243</v>
      </c>
      <c r="C1" s="157" t="s">
        <v>244</v>
      </c>
      <c r="D1" s="157" t="s">
        <v>245</v>
      </c>
      <c r="E1" s="157" t="s">
        <v>246</v>
      </c>
      <c r="F1" s="157" t="s">
        <v>247</v>
      </c>
      <c r="G1" s="157" t="s">
        <v>248</v>
      </c>
      <c r="H1" s="157" t="s">
        <v>12</v>
      </c>
      <c r="I1" s="157" t="s">
        <v>249</v>
      </c>
      <c r="J1" s="157" t="s">
        <v>250</v>
      </c>
      <c r="K1" s="157" t="s">
        <v>31</v>
      </c>
    </row>
    <row r="2" spans="1:11" ht="30" customHeight="1" x14ac:dyDescent="0.25">
      <c r="A2" s="60">
        <v>1</v>
      </c>
      <c r="B2" s="60">
        <v>220962356</v>
      </c>
      <c r="C2" s="60" t="s">
        <v>251</v>
      </c>
      <c r="D2" s="60">
        <v>8.31</v>
      </c>
      <c r="E2" s="60">
        <v>9623378824</v>
      </c>
      <c r="F2" s="60" t="s">
        <v>252</v>
      </c>
      <c r="G2" s="60" t="s">
        <v>478</v>
      </c>
      <c r="H2" s="60" t="s">
        <v>74</v>
      </c>
      <c r="I2" s="60" t="s">
        <v>19</v>
      </c>
      <c r="J2" s="60">
        <v>1200000</v>
      </c>
      <c r="K2" s="60"/>
    </row>
    <row r="3" spans="1:11" ht="30" customHeight="1" x14ac:dyDescent="0.25">
      <c r="A3" s="60">
        <v>2</v>
      </c>
      <c r="B3" s="159">
        <v>220905006</v>
      </c>
      <c r="C3" s="159" t="s">
        <v>254</v>
      </c>
      <c r="D3" s="159">
        <v>8.93</v>
      </c>
      <c r="E3" s="159">
        <v>8310309620</v>
      </c>
      <c r="F3" s="159" t="s">
        <v>255</v>
      </c>
      <c r="G3" s="159" t="s">
        <v>478</v>
      </c>
      <c r="H3" s="159" t="s">
        <v>70</v>
      </c>
      <c r="I3" s="60" t="s">
        <v>20</v>
      </c>
      <c r="J3" s="60">
        <v>2478000</v>
      </c>
      <c r="K3" s="60">
        <v>60000</v>
      </c>
    </row>
    <row r="4" spans="1:11" ht="30" customHeight="1" x14ac:dyDescent="0.25">
      <c r="A4" s="60">
        <v>3</v>
      </c>
      <c r="B4" s="159">
        <v>220905192</v>
      </c>
      <c r="C4" s="159" t="s">
        <v>257</v>
      </c>
      <c r="D4" s="159">
        <v>7.11</v>
      </c>
      <c r="E4" s="159">
        <v>6301434436</v>
      </c>
      <c r="F4" s="159" t="s">
        <v>258</v>
      </c>
      <c r="G4" s="159" t="s">
        <v>256</v>
      </c>
      <c r="H4" s="159" t="s">
        <v>70</v>
      </c>
      <c r="I4" s="60" t="s">
        <v>20</v>
      </c>
      <c r="J4" s="60">
        <v>2478000</v>
      </c>
      <c r="K4" s="60">
        <v>60000</v>
      </c>
    </row>
    <row r="5" spans="1:11" ht="30" customHeight="1" x14ac:dyDescent="0.25">
      <c r="A5" s="60">
        <v>4</v>
      </c>
      <c r="B5" s="159">
        <v>220953516</v>
      </c>
      <c r="C5" s="159" t="s">
        <v>259</v>
      </c>
      <c r="D5" s="160">
        <v>8.66</v>
      </c>
      <c r="E5" s="159">
        <v>9353455845</v>
      </c>
      <c r="F5" s="159" t="s">
        <v>260</v>
      </c>
      <c r="G5" s="159" t="s">
        <v>261</v>
      </c>
      <c r="H5" s="60" t="s">
        <v>77</v>
      </c>
      <c r="I5" s="60" t="s">
        <v>20</v>
      </c>
      <c r="J5" s="60">
        <v>3000000</v>
      </c>
      <c r="K5" s="60">
        <v>162000</v>
      </c>
    </row>
    <row r="6" spans="1:11" ht="30" customHeight="1" x14ac:dyDescent="0.25">
      <c r="A6" s="60">
        <v>5</v>
      </c>
      <c r="B6" s="159">
        <v>220953202</v>
      </c>
      <c r="C6" s="159" t="s">
        <v>262</v>
      </c>
      <c r="D6" s="160">
        <v>8.5500000000000007</v>
      </c>
      <c r="E6" s="159">
        <v>7674084916</v>
      </c>
      <c r="F6" s="159" t="s">
        <v>263</v>
      </c>
      <c r="G6" s="159" t="s">
        <v>261</v>
      </c>
      <c r="H6" s="60" t="s">
        <v>77</v>
      </c>
      <c r="I6" s="60" t="s">
        <v>20</v>
      </c>
      <c r="J6" s="60">
        <v>3000000</v>
      </c>
      <c r="K6" s="60">
        <v>162000</v>
      </c>
    </row>
    <row r="7" spans="1:11" ht="30" customHeight="1" x14ac:dyDescent="0.25">
      <c r="A7" s="60">
        <v>6</v>
      </c>
      <c r="B7" s="159">
        <v>220953230</v>
      </c>
      <c r="C7" s="159" t="s">
        <v>264</v>
      </c>
      <c r="D7" s="160">
        <v>7.93</v>
      </c>
      <c r="E7" s="159">
        <v>9920959951</v>
      </c>
      <c r="F7" s="159" t="s">
        <v>265</v>
      </c>
      <c r="G7" s="159" t="s">
        <v>261</v>
      </c>
      <c r="H7" s="60" t="s">
        <v>77</v>
      </c>
      <c r="I7" s="60" t="s">
        <v>20</v>
      </c>
      <c r="J7" s="60">
        <v>3000000</v>
      </c>
      <c r="K7" s="60">
        <v>162000</v>
      </c>
    </row>
    <row r="8" spans="1:11" ht="30" customHeight="1" x14ac:dyDescent="0.25">
      <c r="A8" s="60">
        <v>7</v>
      </c>
      <c r="B8" s="159">
        <v>220905544</v>
      </c>
      <c r="C8" s="159" t="s">
        <v>266</v>
      </c>
      <c r="D8" s="160">
        <v>9.5500000000000007</v>
      </c>
      <c r="E8" s="159">
        <v>9619045161</v>
      </c>
      <c r="F8" s="159" t="s">
        <v>267</v>
      </c>
      <c r="G8" s="159" t="s">
        <v>256</v>
      </c>
      <c r="H8" s="60" t="s">
        <v>77</v>
      </c>
      <c r="I8" s="60" t="s">
        <v>20</v>
      </c>
      <c r="J8" s="60">
        <v>3000000</v>
      </c>
      <c r="K8" s="60">
        <v>162000</v>
      </c>
    </row>
    <row r="9" spans="1:11" ht="30" customHeight="1" x14ac:dyDescent="0.25">
      <c r="A9" s="60">
        <v>8</v>
      </c>
      <c r="B9" s="159">
        <v>220905496</v>
      </c>
      <c r="C9" s="159" t="s">
        <v>268</v>
      </c>
      <c r="D9" s="160">
        <v>9.4499999999999993</v>
      </c>
      <c r="E9" s="159">
        <v>8928830710</v>
      </c>
      <c r="F9" s="159" t="s">
        <v>269</v>
      </c>
      <c r="G9" s="159" t="s">
        <v>256</v>
      </c>
      <c r="H9" s="60" t="s">
        <v>77</v>
      </c>
      <c r="I9" s="60" t="s">
        <v>20</v>
      </c>
      <c r="J9" s="60">
        <v>3000000</v>
      </c>
      <c r="K9" s="60">
        <v>162000</v>
      </c>
    </row>
    <row r="10" spans="1:11" ht="30" customHeight="1" x14ac:dyDescent="0.25">
      <c r="A10" s="60">
        <v>9</v>
      </c>
      <c r="B10" s="159">
        <v>220905002</v>
      </c>
      <c r="C10" s="159" t="s">
        <v>270</v>
      </c>
      <c r="D10" s="160">
        <v>9.64</v>
      </c>
      <c r="E10" s="159">
        <v>9945043670</v>
      </c>
      <c r="F10" s="159" t="s">
        <v>271</v>
      </c>
      <c r="G10" s="159" t="s">
        <v>256</v>
      </c>
      <c r="H10" s="60" t="s">
        <v>78</v>
      </c>
      <c r="I10" s="60" t="s">
        <v>20</v>
      </c>
      <c r="J10" s="60">
        <v>2181000</v>
      </c>
      <c r="K10" s="60">
        <v>35000</v>
      </c>
    </row>
    <row r="11" spans="1:11" ht="30" customHeight="1" x14ac:dyDescent="0.25">
      <c r="A11" s="60">
        <v>10</v>
      </c>
      <c r="B11" s="159">
        <v>220911672</v>
      </c>
      <c r="C11" s="159" t="s">
        <v>272</v>
      </c>
      <c r="D11" s="160">
        <v>9.0399999999999991</v>
      </c>
      <c r="E11" s="159">
        <v>8668633682</v>
      </c>
      <c r="F11" s="159" t="s">
        <v>273</v>
      </c>
      <c r="G11" s="159" t="s">
        <v>274</v>
      </c>
      <c r="H11" s="60" t="s">
        <v>78</v>
      </c>
      <c r="I11" s="60" t="s">
        <v>20</v>
      </c>
      <c r="J11" s="60">
        <v>2181000</v>
      </c>
      <c r="K11" s="60">
        <v>35000</v>
      </c>
    </row>
    <row r="12" spans="1:11" ht="30" customHeight="1" x14ac:dyDescent="0.25">
      <c r="A12" s="60">
        <v>11</v>
      </c>
      <c r="B12" s="159">
        <v>220907278</v>
      </c>
      <c r="C12" s="159" t="s">
        <v>275</v>
      </c>
      <c r="D12" s="160">
        <v>8.35</v>
      </c>
      <c r="E12" s="159">
        <v>8121253429</v>
      </c>
      <c r="F12" s="159" t="s">
        <v>276</v>
      </c>
      <c r="G12" s="159" t="s">
        <v>277</v>
      </c>
      <c r="H12" s="60" t="s">
        <v>78</v>
      </c>
      <c r="I12" s="60" t="s">
        <v>20</v>
      </c>
      <c r="J12" s="60">
        <v>2181000</v>
      </c>
      <c r="K12" s="60">
        <v>35000</v>
      </c>
    </row>
    <row r="13" spans="1:11" ht="30" customHeight="1" x14ac:dyDescent="0.25">
      <c r="A13" s="60">
        <v>12</v>
      </c>
      <c r="B13" s="159">
        <v>220907826</v>
      </c>
      <c r="C13" s="159" t="s">
        <v>278</v>
      </c>
      <c r="D13" s="160">
        <v>7.92</v>
      </c>
      <c r="E13" s="159">
        <v>9740502283</v>
      </c>
      <c r="F13" s="159" t="s">
        <v>279</v>
      </c>
      <c r="G13" s="159" t="s">
        <v>277</v>
      </c>
      <c r="H13" s="60" t="s">
        <v>78</v>
      </c>
      <c r="I13" s="60" t="s">
        <v>20</v>
      </c>
      <c r="J13" s="60">
        <v>2181000</v>
      </c>
      <c r="K13" s="60">
        <v>35000</v>
      </c>
    </row>
    <row r="14" spans="1:11" ht="30" customHeight="1" x14ac:dyDescent="0.25">
      <c r="A14" s="60">
        <v>13</v>
      </c>
      <c r="B14" s="159">
        <v>220907670</v>
      </c>
      <c r="C14" s="159" t="s">
        <v>280</v>
      </c>
      <c r="D14" s="160">
        <v>8.32</v>
      </c>
      <c r="E14" s="159">
        <v>9334434232</v>
      </c>
      <c r="F14" s="159" t="s">
        <v>281</v>
      </c>
      <c r="G14" s="159" t="s">
        <v>277</v>
      </c>
      <c r="H14" s="60" t="s">
        <v>78</v>
      </c>
      <c r="I14" s="60" t="s">
        <v>20</v>
      </c>
      <c r="J14" s="60">
        <v>2181000</v>
      </c>
      <c r="K14" s="60">
        <v>35000</v>
      </c>
    </row>
    <row r="15" spans="1:11" ht="30" customHeight="1" x14ac:dyDescent="0.25">
      <c r="A15" s="60">
        <v>14</v>
      </c>
      <c r="B15" s="159">
        <v>220953410</v>
      </c>
      <c r="C15" s="159" t="s">
        <v>282</v>
      </c>
      <c r="D15" s="160">
        <v>9.1999999999999993</v>
      </c>
      <c r="E15" s="159">
        <v>8886926310</v>
      </c>
      <c r="F15" s="159" t="s">
        <v>283</v>
      </c>
      <c r="G15" s="159" t="s">
        <v>261</v>
      </c>
      <c r="H15" s="60" t="s">
        <v>79</v>
      </c>
      <c r="I15" s="60" t="s">
        <v>20</v>
      </c>
      <c r="J15" s="60">
        <v>3000000</v>
      </c>
      <c r="K15" s="60">
        <v>180000</v>
      </c>
    </row>
    <row r="16" spans="1:11" ht="30" customHeight="1" x14ac:dyDescent="0.25">
      <c r="A16" s="60">
        <v>15</v>
      </c>
      <c r="B16" s="159">
        <v>220903104</v>
      </c>
      <c r="C16" s="159" t="s">
        <v>284</v>
      </c>
      <c r="D16" s="160">
        <v>8.56</v>
      </c>
      <c r="E16" s="159">
        <v>7877819938</v>
      </c>
      <c r="F16" s="159" t="s">
        <v>285</v>
      </c>
      <c r="G16" s="159" t="s">
        <v>286</v>
      </c>
      <c r="H16" s="60" t="s">
        <v>83</v>
      </c>
      <c r="I16" s="60" t="s">
        <v>20</v>
      </c>
      <c r="J16" s="60">
        <v>1400000</v>
      </c>
      <c r="K16" s="60"/>
    </row>
    <row r="17" spans="1:11" ht="30" customHeight="1" x14ac:dyDescent="0.25">
      <c r="A17" s="60">
        <v>16</v>
      </c>
      <c r="B17" s="159">
        <v>220932392</v>
      </c>
      <c r="C17" s="159" t="s">
        <v>287</v>
      </c>
      <c r="D17" s="160">
        <v>7.5</v>
      </c>
      <c r="E17" s="159">
        <v>9321793974</v>
      </c>
      <c r="F17" s="159" t="s">
        <v>288</v>
      </c>
      <c r="G17" s="159" t="s">
        <v>289</v>
      </c>
      <c r="H17" s="60" t="s">
        <v>83</v>
      </c>
      <c r="I17" s="60" t="s">
        <v>20</v>
      </c>
      <c r="J17" s="60">
        <v>1400000</v>
      </c>
      <c r="K17" s="60"/>
    </row>
    <row r="18" spans="1:11" ht="30" customHeight="1" x14ac:dyDescent="0.25">
      <c r="A18" s="60">
        <v>17</v>
      </c>
      <c r="B18" s="60">
        <v>220962314</v>
      </c>
      <c r="C18" s="60" t="s">
        <v>290</v>
      </c>
      <c r="D18" s="60">
        <v>8.64</v>
      </c>
      <c r="E18" s="60">
        <v>7259484661</v>
      </c>
      <c r="F18" s="60" t="s">
        <v>291</v>
      </c>
      <c r="G18" s="60" t="s">
        <v>253</v>
      </c>
      <c r="H18" s="60" t="s">
        <v>87</v>
      </c>
      <c r="I18" s="60" t="s">
        <v>20</v>
      </c>
      <c r="J18" s="60">
        <v>2000000</v>
      </c>
      <c r="K18" s="60">
        <v>70000</v>
      </c>
    </row>
    <row r="19" spans="1:11" ht="30" customHeight="1" x14ac:dyDescent="0.25">
      <c r="A19" s="60">
        <v>18</v>
      </c>
      <c r="B19" s="60">
        <v>220962018</v>
      </c>
      <c r="C19" s="60" t="s">
        <v>292</v>
      </c>
      <c r="D19" s="60">
        <v>8.58</v>
      </c>
      <c r="E19" s="60">
        <v>8281596331</v>
      </c>
      <c r="F19" s="60" t="s">
        <v>293</v>
      </c>
      <c r="G19" s="60" t="s">
        <v>253</v>
      </c>
      <c r="H19" s="60" t="s">
        <v>87</v>
      </c>
      <c r="I19" s="60" t="s">
        <v>20</v>
      </c>
      <c r="J19" s="60">
        <v>2000000</v>
      </c>
      <c r="K19" s="60">
        <v>70000</v>
      </c>
    </row>
    <row r="20" spans="1:11" ht="30" customHeight="1" x14ac:dyDescent="0.25">
      <c r="A20" s="60">
        <v>19</v>
      </c>
      <c r="B20" s="60">
        <v>220962384</v>
      </c>
      <c r="C20" s="60" t="s">
        <v>294</v>
      </c>
      <c r="D20" s="60">
        <v>8.49</v>
      </c>
      <c r="E20" s="60">
        <v>9530071832</v>
      </c>
      <c r="F20" s="60" t="s">
        <v>295</v>
      </c>
      <c r="G20" s="60" t="s">
        <v>253</v>
      </c>
      <c r="H20" s="60" t="s">
        <v>87</v>
      </c>
      <c r="I20" s="60" t="s">
        <v>20</v>
      </c>
      <c r="J20" s="60">
        <v>2000000</v>
      </c>
      <c r="K20" s="60">
        <v>70000</v>
      </c>
    </row>
    <row r="21" spans="1:11" ht="30" customHeight="1" x14ac:dyDescent="0.25">
      <c r="A21" s="60">
        <v>20</v>
      </c>
      <c r="B21" s="60">
        <v>220962296</v>
      </c>
      <c r="C21" s="60" t="s">
        <v>296</v>
      </c>
      <c r="D21" s="60">
        <v>7.89</v>
      </c>
      <c r="E21" s="60">
        <v>9321606234</v>
      </c>
      <c r="F21" s="60" t="s">
        <v>297</v>
      </c>
      <c r="G21" s="60" t="s">
        <v>253</v>
      </c>
      <c r="H21" s="60" t="s">
        <v>87</v>
      </c>
      <c r="I21" s="60" t="s">
        <v>20</v>
      </c>
      <c r="J21" s="60">
        <v>2000000</v>
      </c>
      <c r="K21" s="60">
        <v>70000</v>
      </c>
    </row>
    <row r="22" spans="1:11" ht="30" customHeight="1" x14ac:dyDescent="0.25">
      <c r="A22" s="60">
        <v>21</v>
      </c>
      <c r="B22" s="60">
        <v>220962412</v>
      </c>
      <c r="C22" s="60" t="s">
        <v>298</v>
      </c>
      <c r="D22" s="60">
        <v>7.64</v>
      </c>
      <c r="E22" s="60">
        <v>9049768106</v>
      </c>
      <c r="F22" s="60" t="s">
        <v>299</v>
      </c>
      <c r="G22" s="60" t="s">
        <v>253</v>
      </c>
      <c r="H22" s="60" t="s">
        <v>87</v>
      </c>
      <c r="I22" s="60" t="s">
        <v>20</v>
      </c>
      <c r="J22" s="60">
        <v>2000000</v>
      </c>
      <c r="K22" s="60">
        <v>70000</v>
      </c>
    </row>
    <row r="23" spans="1:11" ht="30" customHeight="1" x14ac:dyDescent="0.25">
      <c r="A23" s="60">
        <v>22</v>
      </c>
      <c r="B23" s="60">
        <v>220911352</v>
      </c>
      <c r="C23" s="60" t="s">
        <v>300</v>
      </c>
      <c r="D23" s="60">
        <v>8.26</v>
      </c>
      <c r="E23" s="60">
        <v>8341209222</v>
      </c>
      <c r="F23" s="60" t="s">
        <v>301</v>
      </c>
      <c r="G23" s="60" t="s">
        <v>274</v>
      </c>
      <c r="H23" s="60" t="s">
        <v>87</v>
      </c>
      <c r="I23" s="60" t="s">
        <v>20</v>
      </c>
      <c r="J23" s="60">
        <v>2000000</v>
      </c>
      <c r="K23" s="60">
        <v>70000</v>
      </c>
    </row>
    <row r="24" spans="1:11" ht="30" customHeight="1" x14ac:dyDescent="0.25">
      <c r="A24" s="60">
        <v>23</v>
      </c>
      <c r="B24" s="60">
        <v>220911470</v>
      </c>
      <c r="C24" s="60" t="s">
        <v>302</v>
      </c>
      <c r="D24" s="60">
        <v>7.57</v>
      </c>
      <c r="E24" s="60">
        <v>9390300076</v>
      </c>
      <c r="F24" s="60" t="s">
        <v>303</v>
      </c>
      <c r="G24" s="60" t="s">
        <v>274</v>
      </c>
      <c r="H24" s="60" t="s">
        <v>87</v>
      </c>
      <c r="I24" s="60" t="s">
        <v>20</v>
      </c>
      <c r="J24" s="60">
        <v>2000000</v>
      </c>
      <c r="K24" s="60">
        <v>70000</v>
      </c>
    </row>
    <row r="25" spans="1:11" ht="30" customHeight="1" x14ac:dyDescent="0.25">
      <c r="A25" s="60">
        <v>24</v>
      </c>
      <c r="B25" s="159">
        <v>220962338</v>
      </c>
      <c r="C25" s="159" t="s">
        <v>304</v>
      </c>
      <c r="D25" s="160">
        <v>8.83</v>
      </c>
      <c r="E25" s="159">
        <v>7428500775</v>
      </c>
      <c r="F25" s="159" t="s">
        <v>305</v>
      </c>
      <c r="G25" s="60" t="s">
        <v>253</v>
      </c>
      <c r="H25" s="60" t="s">
        <v>88</v>
      </c>
      <c r="I25" s="60" t="s">
        <v>19</v>
      </c>
      <c r="J25" s="60">
        <v>4100399</v>
      </c>
      <c r="K25" s="60"/>
    </row>
    <row r="26" spans="1:11" ht="30" customHeight="1" x14ac:dyDescent="0.25">
      <c r="A26" s="60">
        <v>25</v>
      </c>
      <c r="B26" s="60">
        <v>220907814</v>
      </c>
      <c r="C26" s="60" t="s">
        <v>306</v>
      </c>
      <c r="D26" s="60">
        <v>7.13</v>
      </c>
      <c r="E26" s="60">
        <v>9864406627</v>
      </c>
      <c r="F26" s="60" t="s">
        <v>307</v>
      </c>
      <c r="G26" s="60" t="s">
        <v>277</v>
      </c>
      <c r="H26" s="60" t="s">
        <v>90</v>
      </c>
      <c r="I26" s="60" t="s">
        <v>19</v>
      </c>
      <c r="J26" s="60">
        <v>750000</v>
      </c>
      <c r="K26" s="60"/>
    </row>
    <row r="27" spans="1:11" ht="30" customHeight="1" x14ac:dyDescent="0.25">
      <c r="A27" s="60">
        <v>26</v>
      </c>
      <c r="B27" s="60">
        <v>220907280</v>
      </c>
      <c r="C27" s="60" t="s">
        <v>308</v>
      </c>
      <c r="D27" s="60">
        <v>8.42</v>
      </c>
      <c r="E27" s="60">
        <v>8073596802</v>
      </c>
      <c r="F27" s="60" t="s">
        <v>309</v>
      </c>
      <c r="G27" s="60" t="s">
        <v>277</v>
      </c>
      <c r="H27" s="60" t="s">
        <v>90</v>
      </c>
      <c r="I27" s="60" t="s">
        <v>19</v>
      </c>
      <c r="J27" s="60">
        <v>750000</v>
      </c>
      <c r="K27" s="60"/>
    </row>
    <row r="28" spans="1:11" ht="30" customHeight="1" x14ac:dyDescent="0.25">
      <c r="A28" s="60">
        <v>27</v>
      </c>
      <c r="B28" s="60">
        <v>220909072</v>
      </c>
      <c r="C28" s="60" t="s">
        <v>310</v>
      </c>
      <c r="D28" s="60">
        <v>7.26</v>
      </c>
      <c r="E28" s="60">
        <v>9634302113</v>
      </c>
      <c r="F28" s="60" t="s">
        <v>311</v>
      </c>
      <c r="G28" s="60" t="s">
        <v>312</v>
      </c>
      <c r="H28" s="60" t="s">
        <v>90</v>
      </c>
      <c r="I28" s="60" t="s">
        <v>20</v>
      </c>
      <c r="J28" s="60">
        <v>750000</v>
      </c>
      <c r="K28" s="60"/>
    </row>
    <row r="29" spans="1:11" ht="30" customHeight="1" x14ac:dyDescent="0.25">
      <c r="A29" s="60">
        <v>28</v>
      </c>
      <c r="B29" s="60">
        <v>220909048</v>
      </c>
      <c r="C29" s="60" t="s">
        <v>313</v>
      </c>
      <c r="D29" s="60">
        <v>8.35</v>
      </c>
      <c r="E29" s="60">
        <v>8928413716</v>
      </c>
      <c r="F29" s="60" t="s">
        <v>314</v>
      </c>
      <c r="G29" s="60" t="s">
        <v>312</v>
      </c>
      <c r="H29" s="60" t="s">
        <v>90</v>
      </c>
      <c r="I29" s="60" t="s">
        <v>20</v>
      </c>
      <c r="J29" s="60">
        <v>750000</v>
      </c>
      <c r="K29" s="60"/>
    </row>
    <row r="30" spans="1:11" ht="30" customHeight="1" x14ac:dyDescent="0.25">
      <c r="A30" s="60">
        <v>29</v>
      </c>
      <c r="B30" s="60">
        <v>220929134</v>
      </c>
      <c r="C30" s="60" t="s">
        <v>315</v>
      </c>
      <c r="D30" s="60">
        <v>7.98</v>
      </c>
      <c r="E30" s="60">
        <v>9100204547</v>
      </c>
      <c r="F30" s="60" t="s">
        <v>316</v>
      </c>
      <c r="G30" s="60" t="s">
        <v>317</v>
      </c>
      <c r="H30" s="60" t="s">
        <v>90</v>
      </c>
      <c r="I30" s="60" t="s">
        <v>20</v>
      </c>
      <c r="J30" s="60">
        <v>750000</v>
      </c>
      <c r="K30" s="60"/>
    </row>
    <row r="31" spans="1:11" ht="30" customHeight="1" x14ac:dyDescent="0.25">
      <c r="A31" s="60">
        <v>30</v>
      </c>
      <c r="B31" s="159">
        <v>220911486</v>
      </c>
      <c r="C31" s="159" t="s">
        <v>318</v>
      </c>
      <c r="D31" s="160">
        <v>8.93</v>
      </c>
      <c r="E31" s="159">
        <v>8208467996</v>
      </c>
      <c r="F31" s="159" t="s">
        <v>319</v>
      </c>
      <c r="G31" s="159" t="s">
        <v>274</v>
      </c>
      <c r="H31" s="159" t="s">
        <v>91</v>
      </c>
      <c r="I31" s="60" t="s">
        <v>19</v>
      </c>
      <c r="J31" s="60">
        <v>3430600</v>
      </c>
      <c r="K31" s="60"/>
    </row>
    <row r="32" spans="1:11" ht="30" customHeight="1" x14ac:dyDescent="0.25">
      <c r="A32" s="60">
        <v>31</v>
      </c>
      <c r="B32" s="159">
        <v>220911478</v>
      </c>
      <c r="C32" s="159" t="s">
        <v>320</v>
      </c>
      <c r="D32" s="160">
        <v>8.49</v>
      </c>
      <c r="E32" s="159">
        <v>7977990529</v>
      </c>
      <c r="F32" s="159" t="s">
        <v>321</v>
      </c>
      <c r="G32" s="159" t="s">
        <v>274</v>
      </c>
      <c r="H32" s="159" t="s">
        <v>91</v>
      </c>
      <c r="I32" s="60" t="s">
        <v>19</v>
      </c>
      <c r="J32" s="60">
        <v>3430600</v>
      </c>
      <c r="K32" s="60"/>
    </row>
    <row r="33" spans="1:11" ht="30" customHeight="1" x14ac:dyDescent="0.25">
      <c r="A33" s="60">
        <v>32</v>
      </c>
      <c r="B33" s="159">
        <v>220905179</v>
      </c>
      <c r="C33" s="159" t="s">
        <v>322</v>
      </c>
      <c r="D33" s="160">
        <v>8.4</v>
      </c>
      <c r="E33" s="159">
        <v>8971754306</v>
      </c>
      <c r="F33" s="159" t="s">
        <v>323</v>
      </c>
      <c r="G33" s="159" t="s">
        <v>256</v>
      </c>
      <c r="H33" s="60" t="s">
        <v>95</v>
      </c>
      <c r="I33" s="60" t="s">
        <v>20</v>
      </c>
      <c r="J33" s="60">
        <v>1620012</v>
      </c>
      <c r="K33" s="60">
        <v>40000</v>
      </c>
    </row>
    <row r="34" spans="1:11" ht="30" customHeight="1" x14ac:dyDescent="0.25">
      <c r="A34" s="60">
        <v>33</v>
      </c>
      <c r="B34" s="159">
        <v>220953458</v>
      </c>
      <c r="C34" s="159" t="s">
        <v>324</v>
      </c>
      <c r="D34" s="160">
        <v>7.94</v>
      </c>
      <c r="E34" s="159">
        <v>9833127837</v>
      </c>
      <c r="F34" s="159" t="s">
        <v>325</v>
      </c>
      <c r="G34" s="159" t="s">
        <v>261</v>
      </c>
      <c r="H34" s="60" t="s">
        <v>95</v>
      </c>
      <c r="I34" s="60" t="s">
        <v>20</v>
      </c>
      <c r="J34" s="60">
        <v>1620012</v>
      </c>
      <c r="K34" s="60">
        <v>40000</v>
      </c>
    </row>
    <row r="35" spans="1:11" ht="30" customHeight="1" x14ac:dyDescent="0.25">
      <c r="A35" s="60">
        <v>34</v>
      </c>
      <c r="B35" s="159">
        <v>220911038</v>
      </c>
      <c r="C35" s="159" t="s">
        <v>326</v>
      </c>
      <c r="D35" s="160">
        <v>8.2200000000000006</v>
      </c>
      <c r="E35" s="159">
        <v>9110855168</v>
      </c>
      <c r="F35" s="159" t="s">
        <v>327</v>
      </c>
      <c r="G35" s="159" t="s">
        <v>274</v>
      </c>
      <c r="H35" s="60" t="s">
        <v>95</v>
      </c>
      <c r="I35" s="60" t="s">
        <v>20</v>
      </c>
      <c r="J35" s="60">
        <v>1620012</v>
      </c>
      <c r="K35" s="60">
        <v>40000</v>
      </c>
    </row>
    <row r="36" spans="1:11" ht="30" customHeight="1" x14ac:dyDescent="0.25">
      <c r="A36" s="60">
        <v>35</v>
      </c>
      <c r="B36" s="159">
        <v>220933094</v>
      </c>
      <c r="C36" s="159" t="s">
        <v>328</v>
      </c>
      <c r="D36" s="160">
        <v>8.41</v>
      </c>
      <c r="E36" s="159">
        <v>9620604875</v>
      </c>
      <c r="F36" s="159" t="s">
        <v>329</v>
      </c>
      <c r="G36" s="159" t="s">
        <v>330</v>
      </c>
      <c r="H36" s="60" t="s">
        <v>100</v>
      </c>
      <c r="I36" s="60" t="s">
        <v>19</v>
      </c>
      <c r="J36" s="60">
        <v>1088038</v>
      </c>
      <c r="K36" s="60"/>
    </row>
    <row r="37" spans="1:11" ht="30" customHeight="1" x14ac:dyDescent="0.25">
      <c r="A37" s="60">
        <v>36</v>
      </c>
      <c r="B37" s="159">
        <v>220907844</v>
      </c>
      <c r="C37" s="159" t="s">
        <v>331</v>
      </c>
      <c r="D37" s="160">
        <v>8.2100000000000009</v>
      </c>
      <c r="E37" s="159">
        <v>6374663716</v>
      </c>
      <c r="F37" s="159" t="s">
        <v>332</v>
      </c>
      <c r="G37" s="159" t="s">
        <v>277</v>
      </c>
      <c r="H37" s="60" t="s">
        <v>100</v>
      </c>
      <c r="I37" s="60" t="s">
        <v>19</v>
      </c>
      <c r="J37" s="60">
        <v>1088038</v>
      </c>
      <c r="K37" s="60"/>
    </row>
    <row r="38" spans="1:11" ht="30" customHeight="1" x14ac:dyDescent="0.25">
      <c r="A38" s="60">
        <v>37</v>
      </c>
      <c r="B38" s="159">
        <v>220962013</v>
      </c>
      <c r="C38" s="159" t="s">
        <v>333</v>
      </c>
      <c r="D38" s="160">
        <v>7.8</v>
      </c>
      <c r="E38" s="159">
        <v>9036237930</v>
      </c>
      <c r="F38" s="159" t="s">
        <v>334</v>
      </c>
      <c r="G38" s="159" t="s">
        <v>253</v>
      </c>
      <c r="H38" s="60" t="s">
        <v>100</v>
      </c>
      <c r="I38" s="60" t="s">
        <v>19</v>
      </c>
      <c r="J38" s="60">
        <v>1088038</v>
      </c>
      <c r="K38" s="60"/>
    </row>
    <row r="39" spans="1:11" ht="30" customHeight="1" x14ac:dyDescent="0.25">
      <c r="A39" s="60">
        <v>38</v>
      </c>
      <c r="B39" s="159">
        <v>220962394</v>
      </c>
      <c r="C39" s="159" t="s">
        <v>335</v>
      </c>
      <c r="D39" s="160">
        <v>8.26</v>
      </c>
      <c r="E39" s="159">
        <v>9311208671</v>
      </c>
      <c r="F39" s="159" t="s">
        <v>336</v>
      </c>
      <c r="G39" s="159" t="s">
        <v>253</v>
      </c>
      <c r="H39" s="60" t="s">
        <v>100</v>
      </c>
      <c r="I39" s="60" t="s">
        <v>19</v>
      </c>
      <c r="J39" s="60">
        <v>1088038</v>
      </c>
      <c r="K39" s="60"/>
    </row>
    <row r="40" spans="1:11" ht="30" customHeight="1" x14ac:dyDescent="0.25">
      <c r="A40" s="60">
        <v>39</v>
      </c>
      <c r="B40" s="159">
        <v>220911006</v>
      </c>
      <c r="C40" s="159" t="s">
        <v>337</v>
      </c>
      <c r="D40" s="160">
        <v>7.57</v>
      </c>
      <c r="E40" s="159">
        <v>8296374626</v>
      </c>
      <c r="F40" s="159" t="s">
        <v>338</v>
      </c>
      <c r="G40" s="159" t="s">
        <v>274</v>
      </c>
      <c r="H40" s="60" t="s">
        <v>100</v>
      </c>
      <c r="I40" s="60" t="s">
        <v>19</v>
      </c>
      <c r="J40" s="60">
        <v>1088038</v>
      </c>
      <c r="K40" s="60"/>
    </row>
    <row r="41" spans="1:11" ht="30" customHeight="1" x14ac:dyDescent="0.25">
      <c r="A41" s="60">
        <v>40</v>
      </c>
      <c r="B41" s="159">
        <v>220911534</v>
      </c>
      <c r="C41" s="159" t="s">
        <v>339</v>
      </c>
      <c r="D41" s="160">
        <v>8.9</v>
      </c>
      <c r="E41" s="159">
        <v>9825228253</v>
      </c>
      <c r="F41" s="159" t="s">
        <v>340</v>
      </c>
      <c r="G41" s="159" t="s">
        <v>274</v>
      </c>
      <c r="H41" s="60" t="s">
        <v>100</v>
      </c>
      <c r="I41" s="60" t="s">
        <v>19</v>
      </c>
      <c r="J41" s="60">
        <v>1088038</v>
      </c>
      <c r="K41" s="60"/>
    </row>
    <row r="42" spans="1:11" ht="30" customHeight="1" x14ac:dyDescent="0.25">
      <c r="A42" s="60">
        <v>41</v>
      </c>
      <c r="B42" s="159">
        <v>220911402</v>
      </c>
      <c r="C42" s="159" t="s">
        <v>341</v>
      </c>
      <c r="D42" s="160">
        <v>9</v>
      </c>
      <c r="E42" s="159">
        <v>8777713463</v>
      </c>
      <c r="F42" s="159" t="s">
        <v>342</v>
      </c>
      <c r="G42" s="159" t="s">
        <v>274</v>
      </c>
      <c r="H42" s="60" t="s">
        <v>100</v>
      </c>
      <c r="I42" s="60" t="s">
        <v>19</v>
      </c>
      <c r="J42" s="60">
        <v>1088038</v>
      </c>
      <c r="K42" s="60"/>
    </row>
    <row r="43" spans="1:11" ht="30" customHeight="1" x14ac:dyDescent="0.25">
      <c r="A43" s="60">
        <v>42</v>
      </c>
      <c r="B43" s="159">
        <v>220911392</v>
      </c>
      <c r="C43" s="159" t="s">
        <v>343</v>
      </c>
      <c r="D43" s="160">
        <v>9.11</v>
      </c>
      <c r="E43" s="159">
        <v>9643566455</v>
      </c>
      <c r="F43" s="159" t="s">
        <v>344</v>
      </c>
      <c r="G43" s="159" t="s">
        <v>274</v>
      </c>
      <c r="H43" s="60" t="s">
        <v>100</v>
      </c>
      <c r="I43" s="60" t="s">
        <v>19</v>
      </c>
      <c r="J43" s="60">
        <v>1088038</v>
      </c>
      <c r="K43" s="60"/>
    </row>
    <row r="44" spans="1:11" ht="30" customHeight="1" x14ac:dyDescent="0.25">
      <c r="A44" s="60">
        <v>43</v>
      </c>
      <c r="B44" s="159">
        <v>220953672</v>
      </c>
      <c r="C44" s="159" t="s">
        <v>345</v>
      </c>
      <c r="D44" s="160">
        <v>9.48</v>
      </c>
      <c r="E44" s="159">
        <v>9353011493</v>
      </c>
      <c r="F44" s="159" t="s">
        <v>346</v>
      </c>
      <c r="G44" s="159" t="s">
        <v>261</v>
      </c>
      <c r="H44" s="60" t="s">
        <v>99</v>
      </c>
      <c r="I44" s="60" t="s">
        <v>20</v>
      </c>
      <c r="J44" s="60">
        <v>1975000</v>
      </c>
      <c r="K44" s="60">
        <v>80000</v>
      </c>
    </row>
    <row r="45" spans="1:11" ht="30" customHeight="1" x14ac:dyDescent="0.25">
      <c r="A45" s="60">
        <v>44</v>
      </c>
      <c r="B45" s="159">
        <v>220905236</v>
      </c>
      <c r="C45" s="159" t="s">
        <v>347</v>
      </c>
      <c r="D45" s="160">
        <v>9.42</v>
      </c>
      <c r="E45" s="159">
        <v>9505437075</v>
      </c>
      <c r="F45" s="159" t="s">
        <v>348</v>
      </c>
      <c r="G45" s="159" t="s">
        <v>256</v>
      </c>
      <c r="H45" s="60" t="s">
        <v>99</v>
      </c>
      <c r="I45" s="60" t="s">
        <v>20</v>
      </c>
      <c r="J45" s="60">
        <v>1975000</v>
      </c>
      <c r="K45" s="60">
        <v>80000</v>
      </c>
    </row>
    <row r="46" spans="1:11" ht="30" customHeight="1" x14ac:dyDescent="0.25">
      <c r="A46" s="60">
        <v>45</v>
      </c>
      <c r="B46" s="159">
        <v>220905330</v>
      </c>
      <c r="C46" s="159" t="s">
        <v>349</v>
      </c>
      <c r="D46" s="160">
        <v>9.36</v>
      </c>
      <c r="E46" s="159">
        <v>9967122850</v>
      </c>
      <c r="F46" s="159" t="s">
        <v>350</v>
      </c>
      <c r="G46" s="159" t="s">
        <v>256</v>
      </c>
      <c r="H46" s="60" t="s">
        <v>99</v>
      </c>
      <c r="I46" s="60" t="s">
        <v>20</v>
      </c>
      <c r="J46" s="60">
        <v>1975000</v>
      </c>
      <c r="K46" s="60">
        <v>80000</v>
      </c>
    </row>
    <row r="47" spans="1:11" ht="30" customHeight="1" x14ac:dyDescent="0.25">
      <c r="A47" s="60">
        <v>46</v>
      </c>
      <c r="B47" s="159">
        <v>220962280</v>
      </c>
      <c r="C47" s="159" t="s">
        <v>351</v>
      </c>
      <c r="D47" s="160">
        <v>8.57</v>
      </c>
      <c r="E47" s="159">
        <v>9354122356</v>
      </c>
      <c r="F47" s="159" t="s">
        <v>352</v>
      </c>
      <c r="G47" s="60" t="s">
        <v>253</v>
      </c>
      <c r="H47" s="60" t="s">
        <v>101</v>
      </c>
      <c r="I47" s="60" t="s">
        <v>20</v>
      </c>
      <c r="J47" s="60">
        <v>1657000</v>
      </c>
      <c r="K47" s="60">
        <v>90000</v>
      </c>
    </row>
    <row r="48" spans="1:11" ht="30" customHeight="1" x14ac:dyDescent="0.25">
      <c r="A48" s="60">
        <v>47</v>
      </c>
      <c r="B48" s="60">
        <v>220905264</v>
      </c>
      <c r="C48" s="60" t="s">
        <v>353</v>
      </c>
      <c r="D48" s="60">
        <v>8.15</v>
      </c>
      <c r="E48" s="60">
        <v>8224947361</v>
      </c>
      <c r="F48" s="60" t="s">
        <v>354</v>
      </c>
      <c r="G48" s="60" t="s">
        <v>256</v>
      </c>
      <c r="H48" s="60" t="s">
        <v>102</v>
      </c>
      <c r="I48" s="60" t="s">
        <v>20</v>
      </c>
      <c r="J48" s="60">
        <v>2200000</v>
      </c>
      <c r="K48" s="60">
        <v>50000</v>
      </c>
    </row>
    <row r="49" spans="1:11" ht="30" customHeight="1" x14ac:dyDescent="0.25">
      <c r="A49" s="60">
        <v>48</v>
      </c>
      <c r="B49" s="60">
        <v>220953138</v>
      </c>
      <c r="C49" s="159" t="s">
        <v>355</v>
      </c>
      <c r="D49" s="60">
        <v>9.36</v>
      </c>
      <c r="E49" s="60">
        <v>9930023651</v>
      </c>
      <c r="F49" s="60" t="s">
        <v>356</v>
      </c>
      <c r="G49" s="159" t="s">
        <v>261</v>
      </c>
      <c r="H49" s="60" t="s">
        <v>103</v>
      </c>
      <c r="I49" s="60" t="s">
        <v>20</v>
      </c>
      <c r="J49" s="60">
        <v>2136442</v>
      </c>
      <c r="K49" s="60">
        <v>60000</v>
      </c>
    </row>
    <row r="50" spans="1:11" ht="30" customHeight="1" x14ac:dyDescent="0.25">
      <c r="A50" s="60">
        <v>49</v>
      </c>
      <c r="B50" s="60">
        <v>220905012</v>
      </c>
      <c r="C50" s="159" t="s">
        <v>357</v>
      </c>
      <c r="D50" s="60">
        <v>9.09</v>
      </c>
      <c r="E50" s="60">
        <v>9845780894</v>
      </c>
      <c r="F50" s="60" t="s">
        <v>358</v>
      </c>
      <c r="G50" s="159" t="s">
        <v>256</v>
      </c>
      <c r="H50" s="60" t="s">
        <v>103</v>
      </c>
      <c r="I50" s="60" t="s">
        <v>20</v>
      </c>
      <c r="J50" s="60">
        <v>2136442</v>
      </c>
      <c r="K50" s="60">
        <v>60000</v>
      </c>
    </row>
    <row r="51" spans="1:11" ht="30" customHeight="1" x14ac:dyDescent="0.25">
      <c r="A51" s="60">
        <v>50</v>
      </c>
      <c r="B51" s="60">
        <v>220962244</v>
      </c>
      <c r="C51" s="159" t="s">
        <v>359</v>
      </c>
      <c r="D51" s="60">
        <v>9.1999999999999993</v>
      </c>
      <c r="E51" s="60">
        <v>9836328157</v>
      </c>
      <c r="F51" s="60" t="s">
        <v>360</v>
      </c>
      <c r="G51" s="60" t="s">
        <v>253</v>
      </c>
      <c r="H51" s="60" t="s">
        <v>103</v>
      </c>
      <c r="I51" s="60" t="s">
        <v>20</v>
      </c>
      <c r="J51" s="60">
        <v>2136442</v>
      </c>
      <c r="K51" s="60">
        <v>60000</v>
      </c>
    </row>
    <row r="52" spans="1:11" ht="30" customHeight="1" x14ac:dyDescent="0.25">
      <c r="A52" s="60">
        <v>51</v>
      </c>
      <c r="B52" s="60">
        <v>220962318</v>
      </c>
      <c r="C52" s="159" t="s">
        <v>361</v>
      </c>
      <c r="D52" s="60">
        <v>8.93</v>
      </c>
      <c r="E52" s="60">
        <v>8591734483</v>
      </c>
      <c r="F52" s="60" t="s">
        <v>362</v>
      </c>
      <c r="G52" s="60" t="s">
        <v>253</v>
      </c>
      <c r="H52" s="60" t="s">
        <v>103</v>
      </c>
      <c r="I52" s="60" t="s">
        <v>20</v>
      </c>
      <c r="J52" s="60">
        <v>2136442</v>
      </c>
      <c r="K52" s="60">
        <v>60000</v>
      </c>
    </row>
    <row r="53" spans="1:11" ht="30" customHeight="1" x14ac:dyDescent="0.25">
      <c r="A53" s="60">
        <v>52</v>
      </c>
      <c r="B53" s="60">
        <v>220962432</v>
      </c>
      <c r="C53" s="159" t="s">
        <v>363</v>
      </c>
      <c r="D53" s="60">
        <v>8.51</v>
      </c>
      <c r="E53" s="60">
        <v>9910334116</v>
      </c>
      <c r="F53" s="60" t="s">
        <v>364</v>
      </c>
      <c r="G53" s="60" t="s">
        <v>253</v>
      </c>
      <c r="H53" s="60" t="s">
        <v>103</v>
      </c>
      <c r="I53" s="60" t="s">
        <v>20</v>
      </c>
      <c r="J53" s="60">
        <v>2136442</v>
      </c>
      <c r="K53" s="60">
        <v>60000</v>
      </c>
    </row>
    <row r="54" spans="1:11" ht="30" customHeight="1" x14ac:dyDescent="0.25">
      <c r="A54" s="60">
        <v>53</v>
      </c>
      <c r="B54" s="159">
        <v>220911184</v>
      </c>
      <c r="C54" s="159" t="s">
        <v>365</v>
      </c>
      <c r="D54" s="160">
        <v>8.31</v>
      </c>
      <c r="E54" s="159">
        <v>8848461673</v>
      </c>
      <c r="F54" s="159" t="s">
        <v>366</v>
      </c>
      <c r="G54" s="159" t="s">
        <v>274</v>
      </c>
      <c r="H54" s="60" t="s">
        <v>103</v>
      </c>
      <c r="I54" s="60" t="s">
        <v>20</v>
      </c>
      <c r="J54" s="60">
        <v>2136442</v>
      </c>
      <c r="K54" s="60">
        <v>60000</v>
      </c>
    </row>
    <row r="55" spans="1:11" ht="30" customHeight="1" x14ac:dyDescent="0.25">
      <c r="A55" s="60">
        <v>54</v>
      </c>
      <c r="B55" s="60">
        <v>220953306</v>
      </c>
      <c r="C55" s="159" t="s">
        <v>367</v>
      </c>
      <c r="D55" s="160">
        <v>7.55</v>
      </c>
      <c r="E55" s="159">
        <v>9136135469</v>
      </c>
      <c r="F55" s="159" t="s">
        <v>368</v>
      </c>
      <c r="G55" s="159" t="s">
        <v>261</v>
      </c>
      <c r="H55" s="60" t="s">
        <v>369</v>
      </c>
      <c r="I55" s="60" t="s">
        <v>19</v>
      </c>
      <c r="J55" s="60">
        <v>2400000</v>
      </c>
      <c r="K55" s="60"/>
    </row>
    <row r="56" spans="1:11" ht="30" customHeight="1" x14ac:dyDescent="0.25">
      <c r="A56" s="60">
        <v>55</v>
      </c>
      <c r="B56" s="60">
        <v>220962264</v>
      </c>
      <c r="C56" s="159" t="s">
        <v>370</v>
      </c>
      <c r="D56" s="160">
        <v>9.1199999999999992</v>
      </c>
      <c r="E56" s="159">
        <v>8755679267</v>
      </c>
      <c r="F56" s="159" t="s">
        <v>371</v>
      </c>
      <c r="G56" s="159" t="s">
        <v>253</v>
      </c>
      <c r="H56" s="60" t="s">
        <v>369</v>
      </c>
      <c r="I56" s="60" t="s">
        <v>19</v>
      </c>
      <c r="J56" s="60">
        <v>2400000</v>
      </c>
      <c r="K56" s="60"/>
    </row>
    <row r="57" spans="1:11" ht="30" customHeight="1" x14ac:dyDescent="0.25">
      <c r="A57" s="60">
        <v>56</v>
      </c>
      <c r="B57" s="60">
        <v>220953242</v>
      </c>
      <c r="C57" s="60" t="s">
        <v>372</v>
      </c>
      <c r="D57" s="60">
        <v>8.2200000000000006</v>
      </c>
      <c r="E57" s="60">
        <v>9701372978</v>
      </c>
      <c r="F57" s="60" t="s">
        <v>373</v>
      </c>
      <c r="G57" s="60" t="s">
        <v>261</v>
      </c>
      <c r="H57" s="60" t="s">
        <v>105</v>
      </c>
      <c r="I57" s="60" t="s">
        <v>20</v>
      </c>
      <c r="J57" s="60">
        <v>2350000</v>
      </c>
      <c r="K57" s="60">
        <v>70000</v>
      </c>
    </row>
    <row r="58" spans="1:11" ht="30" customHeight="1" x14ac:dyDescent="0.25">
      <c r="A58" s="60">
        <v>57</v>
      </c>
      <c r="B58" s="60">
        <v>220953634</v>
      </c>
      <c r="C58" s="60" t="s">
        <v>374</v>
      </c>
      <c r="D58" s="60">
        <v>7.88</v>
      </c>
      <c r="E58" s="60">
        <v>9878405011</v>
      </c>
      <c r="F58" s="60" t="s">
        <v>375</v>
      </c>
      <c r="G58" s="60" t="s">
        <v>261</v>
      </c>
      <c r="H58" s="60" t="s">
        <v>105</v>
      </c>
      <c r="I58" s="60" t="s">
        <v>20</v>
      </c>
      <c r="J58" s="60">
        <v>2350000</v>
      </c>
      <c r="K58" s="60">
        <v>70000</v>
      </c>
    </row>
    <row r="59" spans="1:11" ht="30" customHeight="1" x14ac:dyDescent="0.25">
      <c r="A59" s="60">
        <v>58</v>
      </c>
      <c r="B59" s="60">
        <v>220905342</v>
      </c>
      <c r="C59" s="60" t="s">
        <v>376</v>
      </c>
      <c r="D59" s="60">
        <v>7.46</v>
      </c>
      <c r="E59" s="60">
        <v>9324633495</v>
      </c>
      <c r="F59" s="60" t="s">
        <v>377</v>
      </c>
      <c r="G59" s="159" t="s">
        <v>256</v>
      </c>
      <c r="H59" s="60" t="s">
        <v>105</v>
      </c>
      <c r="I59" s="60" t="s">
        <v>20</v>
      </c>
      <c r="J59" s="60">
        <v>2350000</v>
      </c>
      <c r="K59" s="60">
        <v>70000</v>
      </c>
    </row>
    <row r="60" spans="1:11" ht="30" customHeight="1" x14ac:dyDescent="0.25">
      <c r="A60" s="60">
        <v>59</v>
      </c>
      <c r="B60" s="60">
        <v>220962444</v>
      </c>
      <c r="C60" s="60" t="s">
        <v>378</v>
      </c>
      <c r="D60" s="60">
        <v>9.41</v>
      </c>
      <c r="E60" s="60">
        <v>7200412107</v>
      </c>
      <c r="F60" s="60" t="s">
        <v>379</v>
      </c>
      <c r="G60" s="60" t="s">
        <v>253</v>
      </c>
      <c r="H60" s="60" t="s">
        <v>105</v>
      </c>
      <c r="I60" s="60" t="s">
        <v>20</v>
      </c>
      <c r="J60" s="60">
        <v>2350000</v>
      </c>
      <c r="K60" s="60">
        <v>70000</v>
      </c>
    </row>
    <row r="61" spans="1:11" ht="30" customHeight="1" x14ac:dyDescent="0.25">
      <c r="A61" s="60">
        <v>60</v>
      </c>
      <c r="B61" s="60">
        <v>220962398</v>
      </c>
      <c r="C61" s="60" t="s">
        <v>380</v>
      </c>
      <c r="D61" s="60">
        <v>8.8800000000000008</v>
      </c>
      <c r="E61" s="60">
        <v>9769983228</v>
      </c>
      <c r="F61" s="60" t="s">
        <v>381</v>
      </c>
      <c r="G61" s="60" t="s">
        <v>253</v>
      </c>
      <c r="H61" s="60" t="s">
        <v>105</v>
      </c>
      <c r="I61" s="60" t="s">
        <v>20</v>
      </c>
      <c r="J61" s="60">
        <v>2350000</v>
      </c>
      <c r="K61" s="60">
        <v>70000</v>
      </c>
    </row>
    <row r="62" spans="1:11" ht="30" customHeight="1" x14ac:dyDescent="0.25">
      <c r="A62" s="60">
        <v>61</v>
      </c>
      <c r="B62" s="60">
        <v>220968054</v>
      </c>
      <c r="C62" s="60" t="s">
        <v>382</v>
      </c>
      <c r="D62" s="60">
        <v>9.51</v>
      </c>
      <c r="E62" s="60">
        <v>7994959697</v>
      </c>
      <c r="F62" s="60" t="s">
        <v>383</v>
      </c>
      <c r="G62" s="60" t="s">
        <v>384</v>
      </c>
      <c r="H62" s="60" t="s">
        <v>105</v>
      </c>
      <c r="I62" s="60" t="s">
        <v>20</v>
      </c>
      <c r="J62" s="60">
        <v>2350000</v>
      </c>
      <c r="K62" s="60">
        <v>70000</v>
      </c>
    </row>
    <row r="63" spans="1:11" ht="30" customHeight="1" x14ac:dyDescent="0.25">
      <c r="A63" s="60">
        <v>62</v>
      </c>
      <c r="B63" s="60">
        <v>220968118</v>
      </c>
      <c r="C63" s="60" t="s">
        <v>385</v>
      </c>
      <c r="D63" s="60">
        <v>8.7899999999999991</v>
      </c>
      <c r="E63" s="60">
        <v>8707057485</v>
      </c>
      <c r="F63" s="60" t="s">
        <v>386</v>
      </c>
      <c r="G63" s="60" t="s">
        <v>384</v>
      </c>
      <c r="H63" s="60" t="s">
        <v>105</v>
      </c>
      <c r="I63" s="60" t="s">
        <v>20</v>
      </c>
      <c r="J63" s="60">
        <v>2350000</v>
      </c>
      <c r="K63" s="60">
        <v>70000</v>
      </c>
    </row>
    <row r="64" spans="1:11" ht="30" customHeight="1" x14ac:dyDescent="0.25">
      <c r="A64" s="60">
        <v>63</v>
      </c>
      <c r="B64" s="60">
        <v>220907640</v>
      </c>
      <c r="C64" s="60" t="s">
        <v>387</v>
      </c>
      <c r="D64" s="60">
        <v>8.61</v>
      </c>
      <c r="E64" s="60">
        <v>9518536252</v>
      </c>
      <c r="F64" s="60" t="s">
        <v>388</v>
      </c>
      <c r="G64" s="60" t="s">
        <v>277</v>
      </c>
      <c r="H64" s="60" t="s">
        <v>105</v>
      </c>
      <c r="I64" s="60" t="s">
        <v>20</v>
      </c>
      <c r="J64" s="60">
        <v>2350000</v>
      </c>
      <c r="K64" s="60">
        <v>70000</v>
      </c>
    </row>
    <row r="65" spans="1:11" ht="30" customHeight="1" x14ac:dyDescent="0.25">
      <c r="A65" s="60">
        <v>64</v>
      </c>
      <c r="B65" s="159">
        <v>220953300</v>
      </c>
      <c r="C65" s="159" t="s">
        <v>389</v>
      </c>
      <c r="D65" s="160">
        <v>9.07</v>
      </c>
      <c r="E65" s="159">
        <v>9113824119</v>
      </c>
      <c r="F65" s="159" t="s">
        <v>390</v>
      </c>
      <c r="G65" s="159" t="s">
        <v>261</v>
      </c>
      <c r="H65" s="60" t="s">
        <v>106</v>
      </c>
      <c r="I65" s="60" t="s">
        <v>19</v>
      </c>
      <c r="J65" s="60">
        <v>1975000</v>
      </c>
      <c r="K65" s="60"/>
    </row>
    <row r="66" spans="1:11" ht="30" customHeight="1" x14ac:dyDescent="0.25">
      <c r="A66" s="60">
        <v>65</v>
      </c>
      <c r="B66" s="159">
        <v>220968380</v>
      </c>
      <c r="C66" s="159" t="s">
        <v>391</v>
      </c>
      <c r="D66" s="160">
        <v>9.09</v>
      </c>
      <c r="E66" s="159">
        <v>6201800952</v>
      </c>
      <c r="F66" s="159" t="s">
        <v>392</v>
      </c>
      <c r="G66" s="159" t="s">
        <v>384</v>
      </c>
      <c r="H66" s="60" t="s">
        <v>106</v>
      </c>
      <c r="I66" s="60" t="s">
        <v>19</v>
      </c>
      <c r="J66" s="60">
        <v>1975000</v>
      </c>
      <c r="K66" s="60"/>
    </row>
    <row r="67" spans="1:11" ht="30" customHeight="1" x14ac:dyDescent="0.25">
      <c r="A67" s="60">
        <v>66</v>
      </c>
      <c r="B67" s="159">
        <v>220953156</v>
      </c>
      <c r="C67" s="159" t="s">
        <v>393</v>
      </c>
      <c r="D67" s="159">
        <v>8.51</v>
      </c>
      <c r="E67" s="159">
        <v>9100514925</v>
      </c>
      <c r="F67" s="159" t="s">
        <v>394</v>
      </c>
      <c r="G67" s="60" t="s">
        <v>261</v>
      </c>
      <c r="H67" s="60" t="s">
        <v>395</v>
      </c>
      <c r="I67" s="60" t="s">
        <v>20</v>
      </c>
      <c r="J67" s="60">
        <v>2602080</v>
      </c>
      <c r="K67" s="60">
        <v>35000</v>
      </c>
    </row>
    <row r="68" spans="1:11" ht="30" customHeight="1" x14ac:dyDescent="0.25">
      <c r="A68" s="60">
        <v>67</v>
      </c>
      <c r="B68" s="159">
        <v>220953110</v>
      </c>
      <c r="C68" s="159" t="s">
        <v>396</v>
      </c>
      <c r="D68" s="159">
        <v>7.55</v>
      </c>
      <c r="E68" s="159">
        <v>6394102248</v>
      </c>
      <c r="F68" s="159" t="s">
        <v>397</v>
      </c>
      <c r="G68" s="60" t="s">
        <v>261</v>
      </c>
      <c r="H68" s="60" t="s">
        <v>395</v>
      </c>
      <c r="I68" s="60" t="s">
        <v>20</v>
      </c>
      <c r="J68" s="60">
        <v>2602080</v>
      </c>
      <c r="K68" s="60">
        <v>35000</v>
      </c>
    </row>
    <row r="69" spans="1:11" ht="30" customHeight="1" x14ac:dyDescent="0.25">
      <c r="A69" s="60">
        <v>68</v>
      </c>
      <c r="B69" s="159">
        <v>220905520</v>
      </c>
      <c r="C69" s="159" t="s">
        <v>398</v>
      </c>
      <c r="D69" s="159">
        <v>7.7900000000000009</v>
      </c>
      <c r="E69" s="159">
        <v>8897269326</v>
      </c>
      <c r="F69" s="159" t="s">
        <v>399</v>
      </c>
      <c r="G69" s="159" t="s">
        <v>256</v>
      </c>
      <c r="H69" s="60" t="s">
        <v>395</v>
      </c>
      <c r="I69" s="60" t="s">
        <v>20</v>
      </c>
      <c r="J69" s="60">
        <v>2602080</v>
      </c>
      <c r="K69" s="60">
        <v>35000</v>
      </c>
    </row>
    <row r="70" spans="1:11" ht="30" customHeight="1" x14ac:dyDescent="0.25">
      <c r="A70" s="60">
        <v>69</v>
      </c>
      <c r="B70" s="159">
        <v>220962137</v>
      </c>
      <c r="C70" s="159" t="s">
        <v>400</v>
      </c>
      <c r="D70" s="159">
        <v>8.83</v>
      </c>
      <c r="E70" s="159">
        <v>9560201681</v>
      </c>
      <c r="F70" s="159" t="s">
        <v>401</v>
      </c>
      <c r="G70" s="60" t="s">
        <v>253</v>
      </c>
      <c r="H70" s="60" t="s">
        <v>395</v>
      </c>
      <c r="I70" s="60" t="s">
        <v>20</v>
      </c>
      <c r="J70" s="60">
        <v>2602080</v>
      </c>
      <c r="K70" s="60">
        <v>35000</v>
      </c>
    </row>
    <row r="71" spans="1:11" ht="30" customHeight="1" x14ac:dyDescent="0.25">
      <c r="A71" s="60">
        <v>70</v>
      </c>
      <c r="B71" s="159">
        <v>220911037</v>
      </c>
      <c r="C71" s="159" t="s">
        <v>402</v>
      </c>
      <c r="D71" s="159">
        <v>8.9</v>
      </c>
      <c r="E71" s="159">
        <v>8618944293</v>
      </c>
      <c r="F71" s="159" t="s">
        <v>403</v>
      </c>
      <c r="G71" s="159" t="s">
        <v>274</v>
      </c>
      <c r="H71" s="60" t="s">
        <v>395</v>
      </c>
      <c r="I71" s="60" t="s">
        <v>20</v>
      </c>
      <c r="J71" s="60">
        <v>2602080</v>
      </c>
      <c r="K71" s="60">
        <v>35000</v>
      </c>
    </row>
    <row r="72" spans="1:11" ht="30" customHeight="1" x14ac:dyDescent="0.25">
      <c r="A72" s="60">
        <v>71</v>
      </c>
      <c r="B72" s="159">
        <v>220911028</v>
      </c>
      <c r="C72" s="159" t="s">
        <v>404</v>
      </c>
      <c r="D72" s="159">
        <v>8.58</v>
      </c>
      <c r="E72" s="159">
        <v>9331987138</v>
      </c>
      <c r="F72" s="159" t="s">
        <v>405</v>
      </c>
      <c r="G72" s="159" t="s">
        <v>274</v>
      </c>
      <c r="H72" s="60" t="s">
        <v>395</v>
      </c>
      <c r="I72" s="60" t="s">
        <v>20</v>
      </c>
      <c r="J72" s="60">
        <v>2602080</v>
      </c>
      <c r="K72" s="60">
        <v>35000</v>
      </c>
    </row>
    <row r="73" spans="1:11" ht="30" customHeight="1" x14ac:dyDescent="0.25">
      <c r="A73" s="60">
        <v>72</v>
      </c>
      <c r="B73" s="159">
        <v>220911016</v>
      </c>
      <c r="C73" s="159" t="s">
        <v>406</v>
      </c>
      <c r="D73" s="159">
        <v>8.09</v>
      </c>
      <c r="E73" s="159">
        <v>7795936237</v>
      </c>
      <c r="F73" s="159" t="s">
        <v>407</v>
      </c>
      <c r="G73" s="159" t="s">
        <v>274</v>
      </c>
      <c r="H73" s="60" t="s">
        <v>395</v>
      </c>
      <c r="I73" s="60" t="s">
        <v>20</v>
      </c>
      <c r="J73" s="60">
        <v>2602080</v>
      </c>
      <c r="K73" s="60">
        <v>35000</v>
      </c>
    </row>
    <row r="74" spans="1:11" ht="30" customHeight="1" x14ac:dyDescent="0.25">
      <c r="A74" s="60">
        <v>73</v>
      </c>
      <c r="B74" s="159">
        <v>220911466</v>
      </c>
      <c r="C74" s="159" t="s">
        <v>408</v>
      </c>
      <c r="D74" s="159">
        <v>7.9700000000000006</v>
      </c>
      <c r="E74" s="159">
        <v>7505791617</v>
      </c>
      <c r="F74" s="159" t="s">
        <v>409</v>
      </c>
      <c r="G74" s="159" t="s">
        <v>274</v>
      </c>
      <c r="H74" s="60" t="s">
        <v>395</v>
      </c>
      <c r="I74" s="60" t="s">
        <v>20</v>
      </c>
      <c r="J74" s="60">
        <v>2602080</v>
      </c>
      <c r="K74" s="60">
        <v>35000</v>
      </c>
    </row>
    <row r="75" spans="1:11" ht="30" customHeight="1" x14ac:dyDescent="0.25">
      <c r="A75" s="60">
        <v>74</v>
      </c>
      <c r="B75" s="159">
        <v>220911364</v>
      </c>
      <c r="C75" s="159" t="s">
        <v>410</v>
      </c>
      <c r="D75" s="159">
        <v>7.7</v>
      </c>
      <c r="E75" s="159">
        <v>6361042112</v>
      </c>
      <c r="F75" s="159" t="s">
        <v>411</v>
      </c>
      <c r="G75" s="159" t="s">
        <v>274</v>
      </c>
      <c r="H75" s="60" t="s">
        <v>395</v>
      </c>
      <c r="I75" s="60" t="s">
        <v>20</v>
      </c>
      <c r="J75" s="60">
        <v>2602080</v>
      </c>
      <c r="K75" s="60">
        <v>35000</v>
      </c>
    </row>
    <row r="76" spans="1:11" ht="30" customHeight="1" x14ac:dyDescent="0.25">
      <c r="A76" s="60">
        <v>75</v>
      </c>
      <c r="B76" s="159">
        <v>220911456</v>
      </c>
      <c r="C76" s="159" t="s">
        <v>412</v>
      </c>
      <c r="D76" s="159">
        <v>7.06</v>
      </c>
      <c r="E76" s="159">
        <v>8171786800</v>
      </c>
      <c r="F76" s="159" t="s">
        <v>413</v>
      </c>
      <c r="G76" s="159" t="s">
        <v>274</v>
      </c>
      <c r="H76" s="60" t="s">
        <v>395</v>
      </c>
      <c r="I76" s="60" t="s">
        <v>20</v>
      </c>
      <c r="J76" s="60">
        <v>2602080</v>
      </c>
      <c r="K76" s="60">
        <v>35000</v>
      </c>
    </row>
    <row r="77" spans="1:11" ht="30" customHeight="1" x14ac:dyDescent="0.25">
      <c r="A77" s="60">
        <v>76</v>
      </c>
      <c r="B77" s="60">
        <v>220953522</v>
      </c>
      <c r="C77" s="159" t="s">
        <v>414</v>
      </c>
      <c r="D77" s="60">
        <v>7.6</v>
      </c>
      <c r="E77" s="60">
        <v>9123695664</v>
      </c>
      <c r="F77" s="60" t="s">
        <v>415</v>
      </c>
      <c r="G77" s="60" t="s">
        <v>261</v>
      </c>
      <c r="H77" s="60" t="s">
        <v>416</v>
      </c>
      <c r="I77" s="60" t="s">
        <v>20</v>
      </c>
      <c r="J77" s="60">
        <v>2602080</v>
      </c>
      <c r="K77" s="60">
        <v>35000</v>
      </c>
    </row>
    <row r="78" spans="1:11" ht="30" customHeight="1" x14ac:dyDescent="0.25">
      <c r="A78" s="60">
        <v>77</v>
      </c>
      <c r="B78" s="60">
        <v>220953500</v>
      </c>
      <c r="C78" s="159" t="s">
        <v>417</v>
      </c>
      <c r="D78" s="60">
        <v>7.4099999999999993</v>
      </c>
      <c r="E78" s="60">
        <v>8920873563</v>
      </c>
      <c r="F78" s="60" t="s">
        <v>418</v>
      </c>
      <c r="G78" s="60" t="s">
        <v>261</v>
      </c>
      <c r="H78" s="60" t="s">
        <v>416</v>
      </c>
      <c r="I78" s="60" t="s">
        <v>20</v>
      </c>
      <c r="J78" s="60">
        <v>2602080</v>
      </c>
      <c r="K78" s="60">
        <v>35000</v>
      </c>
    </row>
    <row r="79" spans="1:11" ht="30" customHeight="1" x14ac:dyDescent="0.25">
      <c r="A79" s="60">
        <v>78</v>
      </c>
      <c r="B79" s="60">
        <v>220905105</v>
      </c>
      <c r="C79" s="159" t="s">
        <v>419</v>
      </c>
      <c r="D79" s="60">
        <v>7.74</v>
      </c>
      <c r="E79" s="60">
        <v>8971449276</v>
      </c>
      <c r="F79" s="60" t="s">
        <v>420</v>
      </c>
      <c r="G79" s="159" t="s">
        <v>256</v>
      </c>
      <c r="H79" s="60" t="s">
        <v>416</v>
      </c>
      <c r="I79" s="60" t="s">
        <v>20</v>
      </c>
      <c r="J79" s="60">
        <v>2602080</v>
      </c>
      <c r="K79" s="60">
        <v>35000</v>
      </c>
    </row>
    <row r="80" spans="1:11" ht="30" customHeight="1" x14ac:dyDescent="0.25">
      <c r="A80" s="60">
        <v>79</v>
      </c>
      <c r="B80" s="60">
        <v>220968120</v>
      </c>
      <c r="C80" s="159" t="s">
        <v>421</v>
      </c>
      <c r="D80" s="60">
        <v>9.4</v>
      </c>
      <c r="E80" s="60">
        <v>9892050359</v>
      </c>
      <c r="F80" s="60" t="s">
        <v>422</v>
      </c>
      <c r="G80" s="60" t="s">
        <v>384</v>
      </c>
      <c r="H80" s="60" t="s">
        <v>416</v>
      </c>
      <c r="I80" s="60" t="s">
        <v>20</v>
      </c>
      <c r="J80" s="60">
        <v>2602080</v>
      </c>
      <c r="K80" s="60">
        <v>35000</v>
      </c>
    </row>
    <row r="81" spans="1:11" ht="30" customHeight="1" x14ac:dyDescent="0.25">
      <c r="A81" s="60">
        <v>80</v>
      </c>
      <c r="B81" s="60">
        <v>220968420</v>
      </c>
      <c r="C81" s="159" t="s">
        <v>423</v>
      </c>
      <c r="D81" s="60">
        <v>9.08</v>
      </c>
      <c r="E81" s="60">
        <v>8431442461</v>
      </c>
      <c r="F81" s="60" t="s">
        <v>424</v>
      </c>
      <c r="G81" s="60" t="s">
        <v>384</v>
      </c>
      <c r="H81" s="60" t="s">
        <v>416</v>
      </c>
      <c r="I81" s="60" t="s">
        <v>20</v>
      </c>
      <c r="J81" s="60">
        <v>2602080</v>
      </c>
      <c r="K81" s="60">
        <v>35000</v>
      </c>
    </row>
    <row r="82" spans="1:11" ht="30" customHeight="1" x14ac:dyDescent="0.25">
      <c r="A82" s="60">
        <v>81</v>
      </c>
      <c r="B82" s="60">
        <v>220907600</v>
      </c>
      <c r="C82" s="159" t="s">
        <v>425</v>
      </c>
      <c r="D82" s="60">
        <v>7.9800000000000013</v>
      </c>
      <c r="E82" s="60">
        <v>7013493752</v>
      </c>
      <c r="F82" s="60" t="s">
        <v>426</v>
      </c>
      <c r="G82" s="60" t="s">
        <v>277</v>
      </c>
      <c r="H82" s="60" t="s">
        <v>416</v>
      </c>
      <c r="I82" s="60" t="s">
        <v>20</v>
      </c>
      <c r="J82" s="60">
        <v>2602080</v>
      </c>
      <c r="K82" s="60">
        <v>35000</v>
      </c>
    </row>
    <row r="83" spans="1:11" ht="30" customHeight="1" x14ac:dyDescent="0.25">
      <c r="A83" s="60">
        <v>82</v>
      </c>
      <c r="B83" s="60">
        <v>220911012</v>
      </c>
      <c r="C83" s="159" t="s">
        <v>427</v>
      </c>
      <c r="D83" s="60">
        <v>7.87</v>
      </c>
      <c r="E83" s="60">
        <v>6363531509</v>
      </c>
      <c r="F83" s="60" t="s">
        <v>428</v>
      </c>
      <c r="G83" s="159" t="s">
        <v>274</v>
      </c>
      <c r="H83" s="60" t="s">
        <v>416</v>
      </c>
      <c r="I83" s="60" t="s">
        <v>20</v>
      </c>
      <c r="J83" s="60">
        <v>2602080</v>
      </c>
      <c r="K83" s="60">
        <v>35000</v>
      </c>
    </row>
    <row r="84" spans="1:11" ht="30" customHeight="1" x14ac:dyDescent="0.25">
      <c r="A84" s="60">
        <v>83</v>
      </c>
      <c r="B84" s="60">
        <v>220911033</v>
      </c>
      <c r="C84" s="159" t="s">
        <v>429</v>
      </c>
      <c r="D84" s="60">
        <v>7.7</v>
      </c>
      <c r="E84" s="60">
        <v>9836044770</v>
      </c>
      <c r="F84" s="60" t="s">
        <v>430</v>
      </c>
      <c r="G84" s="159" t="s">
        <v>274</v>
      </c>
      <c r="H84" s="60" t="s">
        <v>416</v>
      </c>
      <c r="I84" s="60" t="s">
        <v>20</v>
      </c>
      <c r="J84" s="60">
        <v>2602080</v>
      </c>
      <c r="K84" s="60">
        <v>35000</v>
      </c>
    </row>
    <row r="85" spans="1:11" ht="30" customHeight="1" x14ac:dyDescent="0.25">
      <c r="A85" s="60">
        <v>84</v>
      </c>
      <c r="B85" s="159">
        <v>220968298</v>
      </c>
      <c r="C85" s="159" t="s">
        <v>431</v>
      </c>
      <c r="D85" s="160">
        <v>8.2899999999999991</v>
      </c>
      <c r="E85" s="159">
        <v>9839886333</v>
      </c>
      <c r="F85" s="159" t="s">
        <v>432</v>
      </c>
      <c r="G85" s="159" t="s">
        <v>384</v>
      </c>
      <c r="H85" s="60" t="s">
        <v>108</v>
      </c>
      <c r="I85" s="60" t="s">
        <v>19</v>
      </c>
      <c r="J85" s="60">
        <v>2200000</v>
      </c>
      <c r="K85" s="60"/>
    </row>
    <row r="86" spans="1:11" ht="30" customHeight="1" x14ac:dyDescent="0.25">
      <c r="A86" s="60">
        <v>85</v>
      </c>
      <c r="B86" s="60">
        <v>220962356</v>
      </c>
      <c r="C86" s="60" t="s">
        <v>251</v>
      </c>
      <c r="D86" s="60">
        <v>8.31</v>
      </c>
      <c r="E86" s="60">
        <v>9623378824</v>
      </c>
      <c r="F86" s="60" t="s">
        <v>252</v>
      </c>
      <c r="G86" s="60" t="s">
        <v>253</v>
      </c>
      <c r="H86" s="60" t="s">
        <v>108</v>
      </c>
      <c r="I86" s="60" t="s">
        <v>19</v>
      </c>
      <c r="J86" s="60">
        <v>2200000</v>
      </c>
      <c r="K86" s="60"/>
    </row>
    <row r="87" spans="1:11" ht="30" customHeight="1" x14ac:dyDescent="0.25">
      <c r="A87" s="60">
        <v>86</v>
      </c>
      <c r="B87" s="159">
        <v>220905546</v>
      </c>
      <c r="C87" s="159" t="s">
        <v>433</v>
      </c>
      <c r="D87" s="160">
        <v>9.8800000000000008</v>
      </c>
      <c r="E87" s="159">
        <v>8527845810</v>
      </c>
      <c r="F87" s="159" t="s">
        <v>434</v>
      </c>
      <c r="G87" s="159" t="s">
        <v>256</v>
      </c>
      <c r="H87" s="60" t="s">
        <v>108</v>
      </c>
      <c r="I87" s="60" t="s">
        <v>19</v>
      </c>
      <c r="J87" s="60">
        <v>2200000</v>
      </c>
      <c r="K87" s="60"/>
    </row>
    <row r="88" spans="1:11" ht="30" customHeight="1" x14ac:dyDescent="0.25">
      <c r="A88" s="60">
        <v>87</v>
      </c>
      <c r="B88" s="159">
        <v>220911264</v>
      </c>
      <c r="C88" s="159" t="s">
        <v>435</v>
      </c>
      <c r="D88" s="160">
        <v>8.8699999999999992</v>
      </c>
      <c r="E88" s="159">
        <v>6361337013</v>
      </c>
      <c r="F88" s="159" t="s">
        <v>436</v>
      </c>
      <c r="G88" s="159" t="s">
        <v>274</v>
      </c>
      <c r="H88" s="60" t="s">
        <v>108</v>
      </c>
      <c r="I88" s="60" t="s">
        <v>19</v>
      </c>
      <c r="J88" s="60">
        <v>2200000</v>
      </c>
      <c r="K88" s="60"/>
    </row>
    <row r="89" spans="1:11" ht="30" customHeight="1" x14ac:dyDescent="0.25">
      <c r="A89" s="60">
        <v>88</v>
      </c>
      <c r="B89" s="159">
        <v>220953128</v>
      </c>
      <c r="C89" s="159" t="s">
        <v>437</v>
      </c>
      <c r="D89" s="160">
        <v>8.7899999999999991</v>
      </c>
      <c r="E89" s="159">
        <v>9971882633</v>
      </c>
      <c r="F89" s="159" t="s">
        <v>438</v>
      </c>
      <c r="G89" s="159" t="s">
        <v>261</v>
      </c>
      <c r="H89" s="60" t="s">
        <v>109</v>
      </c>
      <c r="I89" s="60" t="s">
        <v>19</v>
      </c>
      <c r="J89" s="60">
        <v>5522250</v>
      </c>
      <c r="K89" s="60"/>
    </row>
    <row r="90" spans="1:11" ht="30" customHeight="1" x14ac:dyDescent="0.25">
      <c r="A90" s="60">
        <v>89</v>
      </c>
      <c r="B90" s="159">
        <v>220953074</v>
      </c>
      <c r="C90" s="159" t="s">
        <v>439</v>
      </c>
      <c r="D90" s="160">
        <v>7.67</v>
      </c>
      <c r="E90" s="159">
        <v>9741715465</v>
      </c>
      <c r="F90" s="159" t="s">
        <v>440</v>
      </c>
      <c r="G90" s="159" t="s">
        <v>261</v>
      </c>
      <c r="H90" s="60" t="s">
        <v>109</v>
      </c>
      <c r="I90" s="60" t="s">
        <v>19</v>
      </c>
      <c r="J90" s="60">
        <v>5522250</v>
      </c>
      <c r="K90" s="60"/>
    </row>
    <row r="91" spans="1:11" ht="30" customHeight="1" x14ac:dyDescent="0.25">
      <c r="A91" s="60">
        <v>90</v>
      </c>
      <c r="B91" s="159">
        <v>220905326</v>
      </c>
      <c r="C91" s="159" t="s">
        <v>441</v>
      </c>
      <c r="D91" s="160">
        <v>9.67</v>
      </c>
      <c r="E91" s="159">
        <v>9840977462</v>
      </c>
      <c r="F91" s="159" t="s">
        <v>442</v>
      </c>
      <c r="G91" s="159" t="s">
        <v>256</v>
      </c>
      <c r="H91" s="60" t="s">
        <v>109</v>
      </c>
      <c r="I91" s="60" t="s">
        <v>19</v>
      </c>
      <c r="J91" s="60">
        <v>5522250</v>
      </c>
      <c r="K91" s="60"/>
    </row>
    <row r="92" spans="1:11" ht="30" customHeight="1" x14ac:dyDescent="0.25">
      <c r="A92" s="60">
        <v>91</v>
      </c>
      <c r="B92" s="159">
        <v>220905206</v>
      </c>
      <c r="C92" s="159" t="s">
        <v>443</v>
      </c>
      <c r="D92" s="160">
        <v>8.7799999999999994</v>
      </c>
      <c r="E92" s="159">
        <v>9631076495</v>
      </c>
      <c r="F92" s="159" t="s">
        <v>444</v>
      </c>
      <c r="G92" s="159" t="s">
        <v>256</v>
      </c>
      <c r="H92" s="60" t="s">
        <v>109</v>
      </c>
      <c r="I92" s="60" t="s">
        <v>19</v>
      </c>
      <c r="J92" s="60">
        <v>5522250</v>
      </c>
      <c r="K92" s="60"/>
    </row>
    <row r="93" spans="1:11" ht="30" customHeight="1" x14ac:dyDescent="0.25">
      <c r="A93" s="60">
        <v>92</v>
      </c>
      <c r="B93" s="159">
        <v>220905232</v>
      </c>
      <c r="C93" s="159" t="s">
        <v>445</v>
      </c>
      <c r="D93" s="160">
        <v>8.74</v>
      </c>
      <c r="E93" s="159">
        <v>9810762506</v>
      </c>
      <c r="F93" s="159" t="s">
        <v>446</v>
      </c>
      <c r="G93" s="159" t="s">
        <v>256</v>
      </c>
      <c r="H93" s="60" t="s">
        <v>109</v>
      </c>
      <c r="I93" s="60" t="s">
        <v>19</v>
      </c>
      <c r="J93" s="60">
        <v>5522250</v>
      </c>
      <c r="K93" s="60"/>
    </row>
    <row r="94" spans="1:11" ht="30" customHeight="1" x14ac:dyDescent="0.25">
      <c r="A94" s="60">
        <v>93</v>
      </c>
      <c r="B94" s="159">
        <v>220911668</v>
      </c>
      <c r="C94" s="159" t="s">
        <v>447</v>
      </c>
      <c r="D94" s="160">
        <v>9.52</v>
      </c>
      <c r="E94" s="159">
        <v>7992433846</v>
      </c>
      <c r="F94" s="159" t="s">
        <v>448</v>
      </c>
      <c r="G94" s="159" t="s">
        <v>274</v>
      </c>
      <c r="H94" s="60" t="s">
        <v>109</v>
      </c>
      <c r="I94" s="60" t="s">
        <v>19</v>
      </c>
      <c r="J94" s="60">
        <v>5522250</v>
      </c>
      <c r="K94" s="60"/>
    </row>
    <row r="95" spans="1:11" ht="30" customHeight="1" x14ac:dyDescent="0.25">
      <c r="A95" s="60">
        <v>94</v>
      </c>
      <c r="B95" s="60">
        <v>220905548</v>
      </c>
      <c r="C95" s="60" t="s">
        <v>449</v>
      </c>
      <c r="D95" s="60">
        <v>9.57</v>
      </c>
      <c r="E95" s="60">
        <v>8240949676</v>
      </c>
      <c r="F95" s="60" t="s">
        <v>450</v>
      </c>
      <c r="G95" s="60" t="s">
        <v>256</v>
      </c>
      <c r="H95" s="60" t="s">
        <v>110</v>
      </c>
      <c r="I95" s="60" t="s">
        <v>20</v>
      </c>
      <c r="J95" s="60">
        <v>1900000</v>
      </c>
      <c r="K95" s="60">
        <v>65000</v>
      </c>
    </row>
    <row r="96" spans="1:11" ht="30" customHeight="1" x14ac:dyDescent="0.25">
      <c r="A96" s="60">
        <v>95</v>
      </c>
      <c r="B96" s="60">
        <v>220968296</v>
      </c>
      <c r="C96" s="60" t="s">
        <v>451</v>
      </c>
      <c r="D96" s="60">
        <v>8.69</v>
      </c>
      <c r="E96" s="60">
        <v>8392827965</v>
      </c>
      <c r="F96" s="60" t="s">
        <v>452</v>
      </c>
      <c r="G96" s="60" t="s">
        <v>384</v>
      </c>
      <c r="H96" s="60" t="s">
        <v>110</v>
      </c>
      <c r="I96" s="60" t="s">
        <v>20</v>
      </c>
      <c r="J96" s="60">
        <v>1900000</v>
      </c>
      <c r="K96" s="60">
        <v>65000</v>
      </c>
    </row>
    <row r="97" spans="1:11" ht="30" customHeight="1" x14ac:dyDescent="0.25">
      <c r="A97" s="60">
        <v>96</v>
      </c>
      <c r="B97" s="60">
        <v>220911158</v>
      </c>
      <c r="C97" s="60" t="s">
        <v>453</v>
      </c>
      <c r="D97" s="60">
        <v>9.4600000000000009</v>
      </c>
      <c r="E97" s="60">
        <v>7452001522</v>
      </c>
      <c r="F97" s="60" t="s">
        <v>454</v>
      </c>
      <c r="G97" s="60" t="s">
        <v>274</v>
      </c>
      <c r="H97" s="60" t="s">
        <v>110</v>
      </c>
      <c r="I97" s="60" t="s">
        <v>20</v>
      </c>
      <c r="J97" s="60">
        <v>1900000</v>
      </c>
      <c r="K97" s="60">
        <v>65000</v>
      </c>
    </row>
    <row r="98" spans="1:11" ht="30" customHeight="1" x14ac:dyDescent="0.25">
      <c r="A98" s="60">
        <v>97</v>
      </c>
      <c r="B98" s="60">
        <v>220911302</v>
      </c>
      <c r="C98" s="60" t="s">
        <v>455</v>
      </c>
      <c r="D98" s="60">
        <v>8.7100000000000009</v>
      </c>
      <c r="E98" s="60">
        <v>7428233446</v>
      </c>
      <c r="F98" s="60" t="s">
        <v>456</v>
      </c>
      <c r="G98" s="60" t="s">
        <v>274</v>
      </c>
      <c r="H98" s="60" t="s">
        <v>110</v>
      </c>
      <c r="I98" s="60" t="s">
        <v>20</v>
      </c>
      <c r="J98" s="60">
        <v>1900000</v>
      </c>
      <c r="K98" s="60">
        <v>65000</v>
      </c>
    </row>
    <row r="99" spans="1:11" ht="30" customHeight="1" x14ac:dyDescent="0.25">
      <c r="A99" s="60">
        <v>98</v>
      </c>
      <c r="B99" s="60">
        <v>220968100</v>
      </c>
      <c r="C99" s="60" t="s">
        <v>457</v>
      </c>
      <c r="D99" s="60">
        <v>9.1999999999999993</v>
      </c>
      <c r="E99" s="60">
        <v>7620221300</v>
      </c>
      <c r="F99" s="60" t="s">
        <v>458</v>
      </c>
      <c r="G99" s="60" t="s">
        <v>384</v>
      </c>
      <c r="H99" s="60" t="s">
        <v>111</v>
      </c>
      <c r="I99" s="60" t="s">
        <v>20</v>
      </c>
      <c r="J99" s="60">
        <v>1329120</v>
      </c>
      <c r="K99" s="60">
        <v>40000</v>
      </c>
    </row>
    <row r="100" spans="1:11" ht="30" customHeight="1" x14ac:dyDescent="0.25">
      <c r="A100" s="60">
        <v>99</v>
      </c>
      <c r="B100" s="60">
        <v>220968136</v>
      </c>
      <c r="C100" s="60" t="s">
        <v>459</v>
      </c>
      <c r="D100" s="60">
        <v>7.79</v>
      </c>
      <c r="E100" s="60">
        <v>9810122645</v>
      </c>
      <c r="F100" s="60" t="s">
        <v>460</v>
      </c>
      <c r="G100" s="60" t="s">
        <v>384</v>
      </c>
      <c r="H100" s="60" t="s">
        <v>111</v>
      </c>
      <c r="I100" s="60" t="s">
        <v>20</v>
      </c>
      <c r="J100" s="60">
        <v>1329120</v>
      </c>
      <c r="K100" s="60">
        <v>40000</v>
      </c>
    </row>
    <row r="101" spans="1:11" ht="30" customHeight="1" x14ac:dyDescent="0.25">
      <c r="A101" s="60">
        <v>100</v>
      </c>
      <c r="B101" s="60">
        <v>220911296</v>
      </c>
      <c r="C101" s="60" t="s">
        <v>461</v>
      </c>
      <c r="D101" s="60">
        <v>8.17</v>
      </c>
      <c r="E101" s="60">
        <v>9741845800</v>
      </c>
      <c r="F101" s="60" t="s">
        <v>462</v>
      </c>
      <c r="G101" s="60" t="s">
        <v>274</v>
      </c>
      <c r="H101" s="60" t="s">
        <v>111</v>
      </c>
      <c r="I101" s="60" t="s">
        <v>20</v>
      </c>
      <c r="J101" s="60">
        <v>1329120</v>
      </c>
      <c r="K101" s="60">
        <v>40000</v>
      </c>
    </row>
    <row r="102" spans="1:11" ht="30" customHeight="1" x14ac:dyDescent="0.25">
      <c r="A102" s="60">
        <v>101</v>
      </c>
      <c r="B102" s="60">
        <v>220911652</v>
      </c>
      <c r="C102" s="60" t="s">
        <v>463</v>
      </c>
      <c r="D102" s="60">
        <v>7.97</v>
      </c>
      <c r="E102" s="60">
        <v>9958983784</v>
      </c>
      <c r="F102" s="60" t="s">
        <v>464</v>
      </c>
      <c r="G102" s="60" t="s">
        <v>274</v>
      </c>
      <c r="H102" s="60" t="s">
        <v>112</v>
      </c>
      <c r="I102" s="60" t="s">
        <v>20</v>
      </c>
      <c r="J102" s="60">
        <v>1384500</v>
      </c>
      <c r="K102" s="60">
        <v>40000</v>
      </c>
    </row>
    <row r="103" spans="1:11" ht="30" customHeight="1" x14ac:dyDescent="0.25">
      <c r="A103" s="60">
        <v>102</v>
      </c>
      <c r="B103" s="60">
        <v>220932078</v>
      </c>
      <c r="C103" s="60" t="s">
        <v>465</v>
      </c>
      <c r="D103" s="60">
        <v>7.65</v>
      </c>
      <c r="E103" s="60">
        <v>8668578700</v>
      </c>
      <c r="F103" s="60" t="s">
        <v>466</v>
      </c>
      <c r="G103" s="60" t="s">
        <v>289</v>
      </c>
      <c r="H103" s="60" t="s">
        <v>113</v>
      </c>
      <c r="I103" s="60" t="s">
        <v>19</v>
      </c>
      <c r="J103" s="60">
        <v>1400000</v>
      </c>
      <c r="K103" s="60"/>
    </row>
    <row r="104" spans="1:11" ht="30" customHeight="1" x14ac:dyDescent="0.25">
      <c r="A104" s="60">
        <v>103</v>
      </c>
      <c r="B104" s="60">
        <v>220909572</v>
      </c>
      <c r="C104" s="60" t="s">
        <v>467</v>
      </c>
      <c r="D104" s="60">
        <v>7</v>
      </c>
      <c r="E104" s="60">
        <v>7026500428</v>
      </c>
      <c r="F104" s="60" t="s">
        <v>468</v>
      </c>
      <c r="G104" s="60" t="s">
        <v>312</v>
      </c>
      <c r="H104" s="60" t="s">
        <v>113</v>
      </c>
      <c r="I104" s="60" t="s">
        <v>19</v>
      </c>
      <c r="J104" s="60">
        <v>1400000</v>
      </c>
      <c r="K104" s="60"/>
    </row>
    <row r="105" spans="1:11" ht="30" customHeight="1" x14ac:dyDescent="0.25">
      <c r="A105" s="60">
        <v>104</v>
      </c>
      <c r="B105" s="60">
        <v>220907748</v>
      </c>
      <c r="C105" s="60" t="s">
        <v>469</v>
      </c>
      <c r="D105" s="60">
        <v>7.79</v>
      </c>
      <c r="E105" s="60">
        <v>9790000234</v>
      </c>
      <c r="F105" s="60" t="s">
        <v>470</v>
      </c>
      <c r="G105" s="60" t="s">
        <v>277</v>
      </c>
      <c r="H105" s="60" t="s">
        <v>471</v>
      </c>
      <c r="I105" s="60" t="s">
        <v>20</v>
      </c>
      <c r="J105" s="60">
        <v>2473633</v>
      </c>
      <c r="K105" s="60">
        <v>98000</v>
      </c>
    </row>
    <row r="106" spans="1:11" ht="30" customHeight="1" x14ac:dyDescent="0.25">
      <c r="A106" s="60">
        <v>105</v>
      </c>
      <c r="B106" s="60">
        <v>220907838</v>
      </c>
      <c r="C106" s="60" t="s">
        <v>472</v>
      </c>
      <c r="D106" s="60">
        <v>7.39</v>
      </c>
      <c r="E106" s="60">
        <v>7738314634</v>
      </c>
      <c r="F106" s="60" t="s">
        <v>473</v>
      </c>
      <c r="G106" s="60" t="s">
        <v>277</v>
      </c>
      <c r="H106" s="60" t="s">
        <v>471</v>
      </c>
      <c r="I106" s="60" t="s">
        <v>20</v>
      </c>
      <c r="J106" s="60">
        <v>2473633</v>
      </c>
      <c r="K106" s="60">
        <v>98000</v>
      </c>
    </row>
    <row r="107" spans="1:11" ht="30" customHeight="1" x14ac:dyDescent="0.25">
      <c r="A107" s="60">
        <v>106</v>
      </c>
      <c r="B107" s="60">
        <v>220907686</v>
      </c>
      <c r="C107" s="60" t="s">
        <v>474</v>
      </c>
      <c r="D107" s="60">
        <v>6.83</v>
      </c>
      <c r="E107" s="60">
        <v>7045034432</v>
      </c>
      <c r="F107" s="60" t="s">
        <v>475</v>
      </c>
      <c r="G107" s="60" t="s">
        <v>277</v>
      </c>
      <c r="H107" s="60" t="s">
        <v>471</v>
      </c>
      <c r="I107" s="60" t="s">
        <v>20</v>
      </c>
      <c r="J107" s="60">
        <v>2473633</v>
      </c>
      <c r="K107" s="60">
        <v>98000</v>
      </c>
    </row>
    <row r="108" spans="1:11" ht="30" customHeight="1" x14ac:dyDescent="0.25">
      <c r="A108" s="60">
        <v>107</v>
      </c>
      <c r="B108" s="159">
        <v>220906366</v>
      </c>
      <c r="C108" s="159" t="s">
        <v>476</v>
      </c>
      <c r="D108" s="160">
        <v>7.14</v>
      </c>
      <c r="E108" s="159">
        <v>8484940300</v>
      </c>
      <c r="F108" s="159" t="s">
        <v>477</v>
      </c>
      <c r="G108" s="159" t="s">
        <v>478</v>
      </c>
      <c r="H108" s="60" t="s">
        <v>77</v>
      </c>
      <c r="I108" s="60" t="s">
        <v>19</v>
      </c>
      <c r="J108" s="60">
        <v>875000</v>
      </c>
      <c r="K108" s="60"/>
    </row>
    <row r="109" spans="1:11" ht="30" customHeight="1" x14ac:dyDescent="0.25">
      <c r="A109" s="60">
        <v>108</v>
      </c>
      <c r="B109" s="159">
        <v>220909268</v>
      </c>
      <c r="C109" s="159" t="s">
        <v>479</v>
      </c>
      <c r="D109" s="160">
        <v>6.49</v>
      </c>
      <c r="E109" s="159">
        <v>9886168960</v>
      </c>
      <c r="F109" s="159" t="s">
        <v>480</v>
      </c>
      <c r="G109" s="159" t="s">
        <v>312</v>
      </c>
      <c r="H109" s="60" t="s">
        <v>77</v>
      </c>
      <c r="I109" s="60" t="s">
        <v>19</v>
      </c>
      <c r="J109" s="60">
        <v>875000</v>
      </c>
      <c r="K109" s="60"/>
    </row>
    <row r="110" spans="1:11" ht="30" customHeight="1" x14ac:dyDescent="0.25">
      <c r="A110" s="60">
        <v>109</v>
      </c>
      <c r="B110" s="60">
        <v>220953482</v>
      </c>
      <c r="C110" s="60" t="s">
        <v>481</v>
      </c>
      <c r="D110" s="160">
        <v>7.26</v>
      </c>
      <c r="E110" s="60">
        <v>9701051902</v>
      </c>
      <c r="F110" s="60" t="s">
        <v>482</v>
      </c>
      <c r="G110" s="159" t="s">
        <v>261</v>
      </c>
      <c r="H110" s="60" t="s">
        <v>118</v>
      </c>
      <c r="I110" s="60" t="s">
        <v>20</v>
      </c>
      <c r="J110" s="60">
        <v>1200000</v>
      </c>
      <c r="K110" s="60">
        <v>35000</v>
      </c>
    </row>
    <row r="111" spans="1:11" ht="30" customHeight="1" x14ac:dyDescent="0.25">
      <c r="A111" s="60">
        <v>110</v>
      </c>
      <c r="B111" s="60">
        <v>220953244</v>
      </c>
      <c r="C111" s="60" t="s">
        <v>483</v>
      </c>
      <c r="D111" s="160">
        <v>7.03</v>
      </c>
      <c r="E111" s="60">
        <v>9606337986</v>
      </c>
      <c r="F111" s="60" t="s">
        <v>484</v>
      </c>
      <c r="G111" s="159" t="s">
        <v>261</v>
      </c>
      <c r="H111" s="60" t="s">
        <v>118</v>
      </c>
      <c r="I111" s="60" t="s">
        <v>20</v>
      </c>
      <c r="J111" s="60">
        <v>1200000</v>
      </c>
      <c r="K111" s="60">
        <v>35000</v>
      </c>
    </row>
    <row r="112" spans="1:11" ht="30" customHeight="1" x14ac:dyDescent="0.25">
      <c r="A112" s="60">
        <v>111</v>
      </c>
      <c r="B112" s="60">
        <v>220906592</v>
      </c>
      <c r="C112" s="60" t="s">
        <v>485</v>
      </c>
      <c r="D112" s="160">
        <v>8.1199999999999992</v>
      </c>
      <c r="E112" s="60">
        <v>6238327944</v>
      </c>
      <c r="F112" s="60" t="s">
        <v>486</v>
      </c>
      <c r="G112" s="159" t="s">
        <v>478</v>
      </c>
      <c r="H112" s="60" t="s">
        <v>118</v>
      </c>
      <c r="I112" s="60" t="s">
        <v>20</v>
      </c>
      <c r="J112" s="60">
        <v>1200000</v>
      </c>
      <c r="K112" s="60">
        <v>35000</v>
      </c>
    </row>
    <row r="113" spans="1:11" ht="30" customHeight="1" x14ac:dyDescent="0.25">
      <c r="A113" s="60">
        <v>112</v>
      </c>
      <c r="B113" s="60">
        <v>220907726</v>
      </c>
      <c r="C113" s="60" t="s">
        <v>487</v>
      </c>
      <c r="D113" s="160">
        <v>8.26</v>
      </c>
      <c r="E113" s="60">
        <v>9493379782</v>
      </c>
      <c r="F113" s="60" t="s">
        <v>488</v>
      </c>
      <c r="G113" s="159" t="s">
        <v>277</v>
      </c>
      <c r="H113" s="60" t="s">
        <v>118</v>
      </c>
      <c r="I113" s="60" t="s">
        <v>20</v>
      </c>
      <c r="J113" s="60">
        <v>1200000</v>
      </c>
      <c r="K113" s="60">
        <v>35000</v>
      </c>
    </row>
    <row r="114" spans="1:11" ht="30" customHeight="1" x14ac:dyDescent="0.25">
      <c r="A114" s="60">
        <v>113</v>
      </c>
      <c r="B114" s="60">
        <v>220907778</v>
      </c>
      <c r="C114" s="60" t="s">
        <v>489</v>
      </c>
      <c r="D114" s="160">
        <v>7.12</v>
      </c>
      <c r="E114" s="60">
        <v>8050525256</v>
      </c>
      <c r="F114" s="60" t="s">
        <v>490</v>
      </c>
      <c r="G114" s="159" t="s">
        <v>277</v>
      </c>
      <c r="H114" s="60" t="s">
        <v>118</v>
      </c>
      <c r="I114" s="60" t="s">
        <v>20</v>
      </c>
      <c r="J114" s="60">
        <v>1200000</v>
      </c>
      <c r="K114" s="60">
        <v>35000</v>
      </c>
    </row>
    <row r="115" spans="1:11" ht="30" customHeight="1" x14ac:dyDescent="0.25">
      <c r="A115" s="60">
        <v>114</v>
      </c>
      <c r="B115" s="60">
        <v>220907602</v>
      </c>
      <c r="C115" s="60" t="s">
        <v>491</v>
      </c>
      <c r="D115" s="160">
        <v>7.11</v>
      </c>
      <c r="E115" s="60">
        <v>9112034034</v>
      </c>
      <c r="F115" s="60" t="s">
        <v>492</v>
      </c>
      <c r="G115" s="159" t="s">
        <v>277</v>
      </c>
      <c r="H115" s="60" t="s">
        <v>118</v>
      </c>
      <c r="I115" s="60" t="s">
        <v>20</v>
      </c>
      <c r="J115" s="60">
        <v>1200000</v>
      </c>
      <c r="K115" s="60">
        <v>35000</v>
      </c>
    </row>
    <row r="116" spans="1:11" ht="30" customHeight="1" x14ac:dyDescent="0.25">
      <c r="A116" s="60">
        <v>115</v>
      </c>
      <c r="B116" s="60">
        <v>220929186</v>
      </c>
      <c r="C116" s="60" t="s">
        <v>493</v>
      </c>
      <c r="D116" s="160">
        <v>8.15</v>
      </c>
      <c r="E116" s="60">
        <v>9769201407</v>
      </c>
      <c r="F116" s="60" t="s">
        <v>494</v>
      </c>
      <c r="G116" s="159" t="s">
        <v>317</v>
      </c>
      <c r="H116" s="60" t="s">
        <v>118</v>
      </c>
      <c r="I116" s="60" t="s">
        <v>20</v>
      </c>
      <c r="J116" s="60">
        <v>1200000</v>
      </c>
      <c r="K116" s="60">
        <v>35000</v>
      </c>
    </row>
    <row r="117" spans="1:11" ht="30" customHeight="1" x14ac:dyDescent="0.25">
      <c r="A117" s="60">
        <v>116</v>
      </c>
      <c r="B117" s="60">
        <v>220929140</v>
      </c>
      <c r="C117" s="60" t="s">
        <v>495</v>
      </c>
      <c r="D117" s="160">
        <v>8.7899999999999991</v>
      </c>
      <c r="E117" s="60">
        <v>9955469771</v>
      </c>
      <c r="F117" s="60" t="s">
        <v>496</v>
      </c>
      <c r="G117" s="159" t="s">
        <v>317</v>
      </c>
      <c r="H117" s="60" t="s">
        <v>118</v>
      </c>
      <c r="I117" s="60" t="s">
        <v>20</v>
      </c>
      <c r="J117" s="60">
        <v>1200000</v>
      </c>
      <c r="K117" s="60">
        <v>35000</v>
      </c>
    </row>
    <row r="118" spans="1:11" ht="30" customHeight="1" x14ac:dyDescent="0.25">
      <c r="A118" s="60">
        <v>117</v>
      </c>
      <c r="B118" s="159">
        <v>220905344</v>
      </c>
      <c r="C118" s="159" t="s">
        <v>497</v>
      </c>
      <c r="D118" s="159">
        <v>8.69</v>
      </c>
      <c r="E118" s="159">
        <v>8879582365</v>
      </c>
      <c r="F118" s="159" t="s">
        <v>498</v>
      </c>
      <c r="G118" s="159" t="s">
        <v>256</v>
      </c>
      <c r="H118" s="60" t="s">
        <v>87</v>
      </c>
      <c r="I118" s="60" t="s">
        <v>20</v>
      </c>
      <c r="J118" s="60">
        <v>2000000</v>
      </c>
      <c r="K118" s="60">
        <v>50000</v>
      </c>
    </row>
    <row r="119" spans="1:11" ht="30" customHeight="1" x14ac:dyDescent="0.25">
      <c r="A119" s="60">
        <v>118</v>
      </c>
      <c r="B119" s="159">
        <v>220911450</v>
      </c>
      <c r="C119" s="159" t="s">
        <v>499</v>
      </c>
      <c r="D119" s="159">
        <v>8.44</v>
      </c>
      <c r="E119" s="159">
        <v>7977749344</v>
      </c>
      <c r="F119" s="159" t="s">
        <v>500</v>
      </c>
      <c r="G119" s="159" t="s">
        <v>274</v>
      </c>
      <c r="H119" s="60" t="s">
        <v>87</v>
      </c>
      <c r="I119" s="60" t="s">
        <v>20</v>
      </c>
      <c r="J119" s="60">
        <v>2000000</v>
      </c>
      <c r="K119" s="60">
        <v>50000</v>
      </c>
    </row>
    <row r="120" spans="1:11" ht="30" customHeight="1" x14ac:dyDescent="0.25">
      <c r="A120" s="60">
        <v>119</v>
      </c>
      <c r="B120" s="159">
        <v>220953438</v>
      </c>
      <c r="C120" s="159" t="s">
        <v>501</v>
      </c>
      <c r="D120" s="159">
        <v>9.2100000000000009</v>
      </c>
      <c r="E120" s="159">
        <v>9830227799</v>
      </c>
      <c r="F120" s="159" t="s">
        <v>502</v>
      </c>
      <c r="G120" s="159" t="s">
        <v>261</v>
      </c>
      <c r="H120" s="60" t="s">
        <v>119</v>
      </c>
      <c r="I120" s="60" t="s">
        <v>20</v>
      </c>
      <c r="J120" s="60">
        <v>1000000</v>
      </c>
      <c r="K120" s="60">
        <v>30000</v>
      </c>
    </row>
    <row r="121" spans="1:11" ht="30" customHeight="1" x14ac:dyDescent="0.25">
      <c r="A121" s="60">
        <v>120</v>
      </c>
      <c r="B121" s="159">
        <v>220968368</v>
      </c>
      <c r="C121" s="159" t="s">
        <v>503</v>
      </c>
      <c r="D121" s="159">
        <v>7.36</v>
      </c>
      <c r="E121" s="159">
        <v>8296890044</v>
      </c>
      <c r="F121" s="159" t="s">
        <v>504</v>
      </c>
      <c r="G121" s="159" t="s">
        <v>384</v>
      </c>
      <c r="H121" s="60" t="s">
        <v>119</v>
      </c>
      <c r="I121" s="60" t="s">
        <v>20</v>
      </c>
      <c r="J121" s="60">
        <v>1000000</v>
      </c>
      <c r="K121" s="60">
        <v>30000</v>
      </c>
    </row>
    <row r="122" spans="1:11" ht="30" customHeight="1" x14ac:dyDescent="0.25">
      <c r="A122" s="60">
        <v>121</v>
      </c>
      <c r="B122" s="159">
        <v>220905530</v>
      </c>
      <c r="C122" s="159" t="s">
        <v>505</v>
      </c>
      <c r="D122" s="160">
        <v>8.6</v>
      </c>
      <c r="E122" s="159">
        <v>9860711952</v>
      </c>
      <c r="F122" s="159" t="s">
        <v>506</v>
      </c>
      <c r="G122" s="159" t="s">
        <v>256</v>
      </c>
      <c r="H122" s="60" t="s">
        <v>120</v>
      </c>
      <c r="I122" s="60" t="s">
        <v>20</v>
      </c>
      <c r="J122" s="60">
        <v>1750000</v>
      </c>
      <c r="K122" s="60">
        <v>40000</v>
      </c>
    </row>
    <row r="123" spans="1:11" ht="30" customHeight="1" x14ac:dyDescent="0.25">
      <c r="A123" s="60">
        <v>122</v>
      </c>
      <c r="B123" s="159">
        <v>220905550</v>
      </c>
      <c r="C123" s="159" t="s">
        <v>507</v>
      </c>
      <c r="D123" s="160">
        <v>9.5500000000000007</v>
      </c>
      <c r="E123" s="159">
        <v>7070091395</v>
      </c>
      <c r="F123" s="159" t="s">
        <v>508</v>
      </c>
      <c r="G123" s="159" t="s">
        <v>256</v>
      </c>
      <c r="H123" s="60" t="s">
        <v>120</v>
      </c>
      <c r="I123" s="60" t="s">
        <v>20</v>
      </c>
      <c r="J123" s="60">
        <v>1750000</v>
      </c>
      <c r="K123" s="60">
        <v>40000</v>
      </c>
    </row>
    <row r="124" spans="1:11" ht="30" customHeight="1" x14ac:dyDescent="0.25">
      <c r="A124" s="60">
        <v>123</v>
      </c>
      <c r="B124" s="159">
        <v>220905212</v>
      </c>
      <c r="C124" s="159" t="s">
        <v>509</v>
      </c>
      <c r="D124" s="160">
        <v>8.82</v>
      </c>
      <c r="E124" s="159">
        <v>8810470168</v>
      </c>
      <c r="F124" s="159" t="s">
        <v>510</v>
      </c>
      <c r="G124" s="159" t="s">
        <v>256</v>
      </c>
      <c r="H124" s="60" t="s">
        <v>120</v>
      </c>
      <c r="I124" s="60" t="s">
        <v>20</v>
      </c>
      <c r="J124" s="60">
        <v>1750000</v>
      </c>
      <c r="K124" s="60">
        <v>40000</v>
      </c>
    </row>
    <row r="125" spans="1:11" ht="30" customHeight="1" x14ac:dyDescent="0.25">
      <c r="A125" s="60">
        <v>124</v>
      </c>
      <c r="B125" s="159">
        <v>220905458</v>
      </c>
      <c r="C125" s="159" t="s">
        <v>511</v>
      </c>
      <c r="D125" s="160">
        <v>8.66</v>
      </c>
      <c r="E125" s="159">
        <v>8130024970</v>
      </c>
      <c r="F125" s="159" t="s">
        <v>512</v>
      </c>
      <c r="G125" s="159" t="s">
        <v>256</v>
      </c>
      <c r="H125" s="60" t="s">
        <v>120</v>
      </c>
      <c r="I125" s="60" t="s">
        <v>20</v>
      </c>
      <c r="J125" s="60">
        <v>1750000</v>
      </c>
      <c r="K125" s="60">
        <v>40000</v>
      </c>
    </row>
    <row r="126" spans="1:11" ht="30" customHeight="1" x14ac:dyDescent="0.25">
      <c r="A126" s="60">
        <v>125</v>
      </c>
      <c r="B126" s="159">
        <v>220953290</v>
      </c>
      <c r="C126" s="159" t="s">
        <v>513</v>
      </c>
      <c r="D126" s="160">
        <v>9.2899999999999991</v>
      </c>
      <c r="E126" s="159">
        <v>9527790023</v>
      </c>
      <c r="F126" s="159" t="s">
        <v>514</v>
      </c>
      <c r="G126" s="159" t="s">
        <v>261</v>
      </c>
      <c r="H126" s="60" t="s">
        <v>121</v>
      </c>
      <c r="I126" s="60" t="s">
        <v>20</v>
      </c>
      <c r="J126" s="60">
        <v>2473633</v>
      </c>
      <c r="K126" s="60">
        <v>98000</v>
      </c>
    </row>
    <row r="127" spans="1:11" ht="30" customHeight="1" x14ac:dyDescent="0.25">
      <c r="A127" s="60">
        <v>126</v>
      </c>
      <c r="B127" s="159">
        <v>220905318</v>
      </c>
      <c r="C127" s="159" t="s">
        <v>515</v>
      </c>
      <c r="D127" s="160">
        <v>9</v>
      </c>
      <c r="E127" s="159">
        <v>8618662411</v>
      </c>
      <c r="F127" s="159" t="s">
        <v>516</v>
      </c>
      <c r="G127" s="159" t="s">
        <v>256</v>
      </c>
      <c r="H127" s="60" t="s">
        <v>121</v>
      </c>
      <c r="I127" s="60" t="s">
        <v>20</v>
      </c>
      <c r="J127" s="60">
        <v>2473633</v>
      </c>
      <c r="K127" s="60">
        <v>98000</v>
      </c>
    </row>
    <row r="128" spans="1:11" ht="30" customHeight="1" x14ac:dyDescent="0.25">
      <c r="A128" s="60">
        <v>127</v>
      </c>
      <c r="B128" s="159">
        <v>220905478</v>
      </c>
      <c r="C128" s="159" t="s">
        <v>517</v>
      </c>
      <c r="D128" s="160">
        <v>7.73</v>
      </c>
      <c r="E128" s="159">
        <v>8138802771</v>
      </c>
      <c r="F128" s="159" t="s">
        <v>518</v>
      </c>
      <c r="G128" s="159" t="s">
        <v>256</v>
      </c>
      <c r="H128" s="60" t="s">
        <v>121</v>
      </c>
      <c r="I128" s="60" t="s">
        <v>20</v>
      </c>
      <c r="J128" s="60">
        <v>2473633</v>
      </c>
      <c r="K128" s="60">
        <v>98000</v>
      </c>
    </row>
    <row r="129" spans="1:11" ht="30" customHeight="1" x14ac:dyDescent="0.25">
      <c r="A129" s="60">
        <v>128</v>
      </c>
      <c r="B129" s="159">
        <v>220911632</v>
      </c>
      <c r="C129" s="159" t="s">
        <v>519</v>
      </c>
      <c r="D129" s="160">
        <v>9.0399999999999991</v>
      </c>
      <c r="E129" s="159">
        <v>7972124971</v>
      </c>
      <c r="F129" s="159" t="s">
        <v>520</v>
      </c>
      <c r="G129" s="159" t="s">
        <v>274</v>
      </c>
      <c r="H129" s="60" t="s">
        <v>121</v>
      </c>
      <c r="I129" s="60" t="s">
        <v>20</v>
      </c>
      <c r="J129" s="60">
        <v>2473633</v>
      </c>
      <c r="K129" s="60">
        <v>98000</v>
      </c>
    </row>
    <row r="130" spans="1:11" ht="30" customHeight="1" x14ac:dyDescent="0.25">
      <c r="A130" s="60">
        <v>129</v>
      </c>
      <c r="B130" s="159">
        <v>220911498</v>
      </c>
      <c r="C130" s="159" t="s">
        <v>521</v>
      </c>
      <c r="D130" s="160">
        <v>7.55</v>
      </c>
      <c r="E130" s="159">
        <v>9509086177</v>
      </c>
      <c r="F130" s="159" t="s">
        <v>522</v>
      </c>
      <c r="G130" s="159" t="s">
        <v>274</v>
      </c>
      <c r="H130" s="60" t="s">
        <v>121</v>
      </c>
      <c r="I130" s="60" t="s">
        <v>20</v>
      </c>
      <c r="J130" s="60">
        <v>2473633</v>
      </c>
      <c r="K130" s="60">
        <v>98000</v>
      </c>
    </row>
    <row r="131" spans="1:11" ht="30" customHeight="1" x14ac:dyDescent="0.25">
      <c r="A131" s="60">
        <v>130</v>
      </c>
      <c r="B131" s="159">
        <v>220905552</v>
      </c>
      <c r="C131" s="159" t="s">
        <v>523</v>
      </c>
      <c r="D131" s="160">
        <v>9.2899999999999991</v>
      </c>
      <c r="E131" s="159">
        <v>7701936006</v>
      </c>
      <c r="F131" s="159" t="s">
        <v>524</v>
      </c>
      <c r="G131" s="159" t="s">
        <v>256</v>
      </c>
      <c r="H131" s="60" t="s">
        <v>122</v>
      </c>
      <c r="I131" s="60" t="s">
        <v>19</v>
      </c>
      <c r="J131" s="60">
        <v>1905062</v>
      </c>
      <c r="K131" s="60"/>
    </row>
    <row r="132" spans="1:11" ht="30" customHeight="1" x14ac:dyDescent="0.25">
      <c r="A132" s="60">
        <v>131</v>
      </c>
      <c r="B132" s="159">
        <v>220905398</v>
      </c>
      <c r="C132" s="159" t="s">
        <v>525</v>
      </c>
      <c r="D132" s="160">
        <v>8.7200000000000006</v>
      </c>
      <c r="E132" s="60">
        <v>8904271402</v>
      </c>
      <c r="F132" s="60" t="s">
        <v>526</v>
      </c>
      <c r="G132" s="60" t="s">
        <v>256</v>
      </c>
      <c r="H132" s="60" t="s">
        <v>122</v>
      </c>
      <c r="I132" s="60" t="s">
        <v>20</v>
      </c>
      <c r="J132" s="60">
        <v>1905062</v>
      </c>
      <c r="K132" s="60">
        <v>75000</v>
      </c>
    </row>
    <row r="133" spans="1:11" ht="30" customHeight="1" x14ac:dyDescent="0.25">
      <c r="A133" s="60">
        <v>132</v>
      </c>
      <c r="B133" s="159">
        <v>220953032</v>
      </c>
      <c r="C133" s="159" t="s">
        <v>527</v>
      </c>
      <c r="D133" s="160">
        <v>8.9600000000000009</v>
      </c>
      <c r="E133" s="159">
        <v>7680011239</v>
      </c>
      <c r="F133" s="159" t="s">
        <v>528</v>
      </c>
      <c r="G133" s="159" t="s">
        <v>261</v>
      </c>
      <c r="H133" s="60" t="s">
        <v>122</v>
      </c>
      <c r="I133" s="60" t="s">
        <v>19</v>
      </c>
      <c r="J133" s="60">
        <v>1905062</v>
      </c>
      <c r="K133" s="60"/>
    </row>
    <row r="134" spans="1:11" ht="30" customHeight="1" x14ac:dyDescent="0.25">
      <c r="A134" s="60">
        <v>133</v>
      </c>
      <c r="B134" s="60">
        <v>220968364</v>
      </c>
      <c r="C134" s="60" t="s">
        <v>529</v>
      </c>
      <c r="D134" s="60">
        <v>7.53</v>
      </c>
      <c r="E134" s="60">
        <v>8692940284</v>
      </c>
      <c r="F134" s="60" t="s">
        <v>530</v>
      </c>
      <c r="G134" s="60" t="s">
        <v>384</v>
      </c>
      <c r="H134" s="60" t="s">
        <v>123</v>
      </c>
      <c r="I134" s="60" t="s">
        <v>20</v>
      </c>
      <c r="J134" s="60">
        <v>1875000</v>
      </c>
      <c r="K134" s="60">
        <v>30000</v>
      </c>
    </row>
    <row r="135" spans="1:11" ht="30" customHeight="1" x14ac:dyDescent="0.25">
      <c r="A135" s="60">
        <v>134</v>
      </c>
      <c r="B135" s="60">
        <v>220911035</v>
      </c>
      <c r="C135" s="60" t="s">
        <v>531</v>
      </c>
      <c r="D135" s="60">
        <v>7.59</v>
      </c>
      <c r="E135" s="60">
        <v>7892057980</v>
      </c>
      <c r="F135" s="60" t="s">
        <v>532</v>
      </c>
      <c r="G135" s="60" t="s">
        <v>274</v>
      </c>
      <c r="H135" s="60" t="s">
        <v>123</v>
      </c>
      <c r="I135" s="60" t="s">
        <v>20</v>
      </c>
      <c r="J135" s="60">
        <v>1875000</v>
      </c>
      <c r="K135" s="60">
        <v>30000</v>
      </c>
    </row>
    <row r="136" spans="1:11" ht="30" customHeight="1" x14ac:dyDescent="0.25">
      <c r="A136" s="60">
        <v>135</v>
      </c>
      <c r="B136" s="60">
        <v>220953524</v>
      </c>
      <c r="C136" s="60" t="s">
        <v>533</v>
      </c>
      <c r="D136" s="60">
        <v>7.69</v>
      </c>
      <c r="E136" s="60">
        <v>9560562366</v>
      </c>
      <c r="F136" s="60" t="s">
        <v>534</v>
      </c>
      <c r="G136" s="60" t="s">
        <v>261</v>
      </c>
      <c r="H136" s="60" t="s">
        <v>123</v>
      </c>
      <c r="I136" s="60" t="s">
        <v>20</v>
      </c>
      <c r="J136" s="60">
        <v>1875000</v>
      </c>
      <c r="K136" s="60">
        <v>30000</v>
      </c>
    </row>
    <row r="137" spans="1:11" ht="30" customHeight="1" x14ac:dyDescent="0.25">
      <c r="A137" s="60">
        <v>136</v>
      </c>
      <c r="B137" s="60">
        <v>220962300</v>
      </c>
      <c r="C137" s="60" t="s">
        <v>535</v>
      </c>
      <c r="D137" s="60">
        <v>8.42</v>
      </c>
      <c r="E137" s="60">
        <v>9470348250</v>
      </c>
      <c r="F137" s="60" t="s">
        <v>536</v>
      </c>
      <c r="G137" s="60" t="s">
        <v>253</v>
      </c>
      <c r="H137" s="60" t="s">
        <v>123</v>
      </c>
      <c r="I137" s="60" t="s">
        <v>20</v>
      </c>
      <c r="J137" s="60">
        <v>1875000</v>
      </c>
      <c r="K137" s="60">
        <v>30000</v>
      </c>
    </row>
    <row r="138" spans="1:11" ht="30" customHeight="1" x14ac:dyDescent="0.25">
      <c r="A138" s="60">
        <v>137</v>
      </c>
      <c r="B138" s="60">
        <v>220962125</v>
      </c>
      <c r="C138" s="60" t="s">
        <v>537</v>
      </c>
      <c r="D138" s="60">
        <v>7.65</v>
      </c>
      <c r="E138" s="60">
        <v>6238467553</v>
      </c>
      <c r="F138" s="60" t="s">
        <v>538</v>
      </c>
      <c r="G138" s="60" t="s">
        <v>253</v>
      </c>
      <c r="H138" s="60" t="s">
        <v>123</v>
      </c>
      <c r="I138" s="60" t="s">
        <v>20</v>
      </c>
      <c r="J138" s="60">
        <v>1875000</v>
      </c>
      <c r="K138" s="60">
        <v>30000</v>
      </c>
    </row>
    <row r="139" spans="1:11" ht="30" customHeight="1" x14ac:dyDescent="0.25">
      <c r="A139" s="60">
        <v>138</v>
      </c>
      <c r="B139" s="60">
        <v>220961128</v>
      </c>
      <c r="C139" s="60" t="s">
        <v>539</v>
      </c>
      <c r="D139" s="60">
        <v>8.59</v>
      </c>
      <c r="E139" s="60">
        <v>7400301133</v>
      </c>
      <c r="F139" s="60" t="s">
        <v>540</v>
      </c>
      <c r="G139" s="60" t="s">
        <v>541</v>
      </c>
      <c r="H139" s="60" t="s">
        <v>123</v>
      </c>
      <c r="I139" s="60" t="s">
        <v>20</v>
      </c>
      <c r="J139" s="60">
        <v>1875000</v>
      </c>
      <c r="K139" s="60">
        <v>30000</v>
      </c>
    </row>
    <row r="140" spans="1:11" ht="30" customHeight="1" x14ac:dyDescent="0.25">
      <c r="A140" s="60">
        <v>139</v>
      </c>
      <c r="B140" s="60">
        <v>220968020</v>
      </c>
      <c r="C140" s="60" t="s">
        <v>542</v>
      </c>
      <c r="D140" s="60">
        <v>8.6199999999999992</v>
      </c>
      <c r="E140" s="60">
        <v>9353570886</v>
      </c>
      <c r="F140" s="60" t="s">
        <v>543</v>
      </c>
      <c r="G140" s="60" t="s">
        <v>384</v>
      </c>
      <c r="H140" s="60" t="s">
        <v>123</v>
      </c>
      <c r="I140" s="60" t="s">
        <v>20</v>
      </c>
      <c r="J140" s="60">
        <v>1875000</v>
      </c>
      <c r="K140" s="60">
        <v>30000</v>
      </c>
    </row>
    <row r="141" spans="1:11" ht="30" customHeight="1" x14ac:dyDescent="0.25">
      <c r="A141" s="60">
        <v>140</v>
      </c>
      <c r="B141" s="60">
        <v>220911648</v>
      </c>
      <c r="C141" s="60" t="s">
        <v>544</v>
      </c>
      <c r="D141" s="60">
        <v>7.75</v>
      </c>
      <c r="E141" s="60">
        <v>9014883570</v>
      </c>
      <c r="F141" s="60" t="s">
        <v>545</v>
      </c>
      <c r="G141" s="60" t="s">
        <v>274</v>
      </c>
      <c r="H141" s="60" t="s">
        <v>123</v>
      </c>
      <c r="I141" s="60" t="s">
        <v>20</v>
      </c>
      <c r="J141" s="60">
        <v>1875000</v>
      </c>
      <c r="K141" s="60">
        <v>30000</v>
      </c>
    </row>
    <row r="142" spans="1:11" ht="30" customHeight="1" x14ac:dyDescent="0.25">
      <c r="A142" s="60">
        <v>141</v>
      </c>
      <c r="B142" s="60">
        <v>220953218</v>
      </c>
      <c r="C142" s="60" t="s">
        <v>546</v>
      </c>
      <c r="D142" s="60">
        <v>7.45</v>
      </c>
      <c r="E142" s="60">
        <v>7019228290</v>
      </c>
      <c r="F142" s="60" t="s">
        <v>547</v>
      </c>
      <c r="G142" s="60" t="s">
        <v>261</v>
      </c>
      <c r="H142" s="60" t="s">
        <v>123</v>
      </c>
      <c r="I142" s="60" t="s">
        <v>20</v>
      </c>
      <c r="J142" s="60">
        <v>1875000</v>
      </c>
      <c r="K142" s="60">
        <v>30000</v>
      </c>
    </row>
    <row r="143" spans="1:11" ht="30" customHeight="1" x14ac:dyDescent="0.25">
      <c r="A143" s="60">
        <v>142</v>
      </c>
      <c r="B143" s="60">
        <v>220962310</v>
      </c>
      <c r="C143" s="60" t="s">
        <v>548</v>
      </c>
      <c r="D143" s="60">
        <v>9.1300000000000008</v>
      </c>
      <c r="E143" s="60">
        <v>9819289047</v>
      </c>
      <c r="F143" s="60" t="s">
        <v>549</v>
      </c>
      <c r="G143" s="60" t="s">
        <v>253</v>
      </c>
      <c r="H143" s="60" t="s">
        <v>123</v>
      </c>
      <c r="I143" s="60" t="s">
        <v>20</v>
      </c>
      <c r="J143" s="60">
        <v>1875000</v>
      </c>
      <c r="K143" s="60">
        <v>30000</v>
      </c>
    </row>
    <row r="144" spans="1:11" ht="30" customHeight="1" x14ac:dyDescent="0.25">
      <c r="A144" s="60">
        <v>143</v>
      </c>
      <c r="B144" s="60">
        <v>220953200</v>
      </c>
      <c r="C144" s="60" t="s">
        <v>550</v>
      </c>
      <c r="D144" s="60">
        <v>8.42</v>
      </c>
      <c r="E144" s="60">
        <v>9108270630</v>
      </c>
      <c r="F144" s="60" t="s">
        <v>551</v>
      </c>
      <c r="G144" s="60" t="s">
        <v>261</v>
      </c>
      <c r="H144" s="60" t="s">
        <v>123</v>
      </c>
      <c r="I144" s="60" t="s">
        <v>20</v>
      </c>
      <c r="J144" s="60">
        <v>1875000</v>
      </c>
      <c r="K144" s="60">
        <v>30000</v>
      </c>
    </row>
    <row r="145" spans="1:11" ht="30" customHeight="1" x14ac:dyDescent="0.25">
      <c r="A145" s="60">
        <v>144</v>
      </c>
      <c r="B145" s="60">
        <v>220905135</v>
      </c>
      <c r="C145" s="60" t="s">
        <v>552</v>
      </c>
      <c r="D145" s="60">
        <v>7.37</v>
      </c>
      <c r="E145" s="60">
        <v>7717344601</v>
      </c>
      <c r="F145" s="60" t="s">
        <v>553</v>
      </c>
      <c r="G145" s="60" t="s">
        <v>256</v>
      </c>
      <c r="H145" s="60" t="s">
        <v>123</v>
      </c>
      <c r="I145" s="60" t="s">
        <v>20</v>
      </c>
      <c r="J145" s="60">
        <v>1875000</v>
      </c>
      <c r="K145" s="60">
        <v>30000</v>
      </c>
    </row>
    <row r="146" spans="1:11" ht="30" customHeight="1" x14ac:dyDescent="0.25">
      <c r="A146" s="60">
        <v>145</v>
      </c>
      <c r="B146" s="60">
        <v>220911548</v>
      </c>
      <c r="C146" s="60" t="s">
        <v>554</v>
      </c>
      <c r="D146" s="60">
        <v>7.46</v>
      </c>
      <c r="E146" s="60">
        <v>7906053379</v>
      </c>
      <c r="F146" s="60" t="s">
        <v>555</v>
      </c>
      <c r="G146" s="60" t="s">
        <v>274</v>
      </c>
      <c r="H146" s="60" t="s">
        <v>123</v>
      </c>
      <c r="I146" s="60" t="s">
        <v>20</v>
      </c>
      <c r="J146" s="60">
        <v>1875000</v>
      </c>
      <c r="K146" s="60">
        <v>30000</v>
      </c>
    </row>
    <row r="147" spans="1:11" ht="30" customHeight="1" x14ac:dyDescent="0.25">
      <c r="A147" s="60">
        <v>146</v>
      </c>
      <c r="B147" s="60">
        <v>220911007</v>
      </c>
      <c r="C147" s="60" t="s">
        <v>556</v>
      </c>
      <c r="D147" s="60">
        <v>7.04</v>
      </c>
      <c r="E147" s="60">
        <v>6364199800</v>
      </c>
      <c r="F147" s="60" t="s">
        <v>557</v>
      </c>
      <c r="G147" s="60" t="s">
        <v>274</v>
      </c>
      <c r="H147" s="60" t="s">
        <v>123</v>
      </c>
      <c r="I147" s="60" t="s">
        <v>20</v>
      </c>
      <c r="J147" s="60">
        <v>1875000</v>
      </c>
      <c r="K147" s="60">
        <v>30000</v>
      </c>
    </row>
    <row r="148" spans="1:11" ht="30" customHeight="1" x14ac:dyDescent="0.25">
      <c r="A148" s="60">
        <v>147</v>
      </c>
      <c r="B148" s="60">
        <v>220962450</v>
      </c>
      <c r="C148" s="60" t="s">
        <v>558</v>
      </c>
      <c r="D148" s="60">
        <v>8.31</v>
      </c>
      <c r="E148" s="60">
        <v>7894947831</v>
      </c>
      <c r="F148" s="60" t="s">
        <v>559</v>
      </c>
      <c r="G148" s="60" t="s">
        <v>253</v>
      </c>
      <c r="H148" s="60" t="s">
        <v>123</v>
      </c>
      <c r="I148" s="60" t="s">
        <v>20</v>
      </c>
      <c r="J148" s="60">
        <v>1875000</v>
      </c>
      <c r="K148" s="60">
        <v>30000</v>
      </c>
    </row>
    <row r="149" spans="1:11" ht="30" customHeight="1" x14ac:dyDescent="0.25">
      <c r="A149" s="60">
        <v>148</v>
      </c>
      <c r="B149" s="60">
        <v>220911426</v>
      </c>
      <c r="C149" s="60" t="s">
        <v>560</v>
      </c>
      <c r="D149" s="60">
        <v>8.16</v>
      </c>
      <c r="E149" s="60">
        <v>9136815823</v>
      </c>
      <c r="F149" s="60" t="s">
        <v>561</v>
      </c>
      <c r="G149" s="60" t="s">
        <v>274</v>
      </c>
      <c r="H149" s="60" t="s">
        <v>123</v>
      </c>
      <c r="I149" s="60" t="s">
        <v>20</v>
      </c>
      <c r="J149" s="60">
        <v>1875000</v>
      </c>
      <c r="K149" s="60">
        <v>30000</v>
      </c>
    </row>
    <row r="150" spans="1:11" ht="30" customHeight="1" x14ac:dyDescent="0.25">
      <c r="A150" s="60">
        <v>149</v>
      </c>
      <c r="B150" s="60">
        <v>220953174</v>
      </c>
      <c r="C150" s="60" t="s">
        <v>562</v>
      </c>
      <c r="D150" s="60">
        <v>8.2899999999999991</v>
      </c>
      <c r="E150" s="60">
        <v>6360340208</v>
      </c>
      <c r="F150" s="60" t="s">
        <v>563</v>
      </c>
      <c r="G150" s="60" t="s">
        <v>261</v>
      </c>
      <c r="H150" s="60" t="s">
        <v>124</v>
      </c>
      <c r="I150" s="60" t="s">
        <v>20</v>
      </c>
      <c r="J150" s="60">
        <v>1415600</v>
      </c>
      <c r="K150" s="60"/>
    </row>
    <row r="151" spans="1:11" ht="30" customHeight="1" x14ac:dyDescent="0.25">
      <c r="A151" s="60">
        <v>150</v>
      </c>
      <c r="B151" s="60">
        <v>220953466</v>
      </c>
      <c r="C151" s="60" t="s">
        <v>564</v>
      </c>
      <c r="D151" s="60">
        <v>8.24</v>
      </c>
      <c r="E151" s="60">
        <v>9560676967</v>
      </c>
      <c r="F151" s="60" t="s">
        <v>565</v>
      </c>
      <c r="G151" s="60" t="s">
        <v>261</v>
      </c>
      <c r="H151" s="60" t="s">
        <v>124</v>
      </c>
      <c r="I151" s="60" t="s">
        <v>20</v>
      </c>
      <c r="J151" s="60">
        <v>1415600</v>
      </c>
      <c r="K151" s="60"/>
    </row>
    <row r="152" spans="1:11" ht="30" customHeight="1" x14ac:dyDescent="0.25">
      <c r="A152" s="60">
        <v>151</v>
      </c>
      <c r="B152" s="60">
        <v>220953684</v>
      </c>
      <c r="C152" s="60" t="s">
        <v>566</v>
      </c>
      <c r="D152" s="60">
        <v>8.0500000000000007</v>
      </c>
      <c r="E152" s="60">
        <v>9559186020</v>
      </c>
      <c r="F152" s="60" t="s">
        <v>567</v>
      </c>
      <c r="G152" s="60" t="s">
        <v>261</v>
      </c>
      <c r="H152" s="60" t="s">
        <v>124</v>
      </c>
      <c r="I152" s="60" t="s">
        <v>20</v>
      </c>
      <c r="J152" s="60">
        <v>1415600</v>
      </c>
      <c r="K152" s="60"/>
    </row>
    <row r="153" spans="1:11" ht="30" customHeight="1" x14ac:dyDescent="0.25">
      <c r="A153" s="60">
        <v>152</v>
      </c>
      <c r="B153" s="60">
        <v>220953168</v>
      </c>
      <c r="C153" s="60" t="s">
        <v>568</v>
      </c>
      <c r="D153" s="60">
        <v>7.82</v>
      </c>
      <c r="E153" s="60">
        <v>9930392608</v>
      </c>
      <c r="F153" s="60" t="s">
        <v>569</v>
      </c>
      <c r="G153" s="60" t="s">
        <v>261</v>
      </c>
      <c r="H153" s="60" t="s">
        <v>124</v>
      </c>
      <c r="I153" s="60" t="s">
        <v>20</v>
      </c>
      <c r="J153" s="60">
        <v>1415600</v>
      </c>
      <c r="K153" s="60"/>
    </row>
    <row r="154" spans="1:11" ht="30" customHeight="1" x14ac:dyDescent="0.25">
      <c r="A154" s="60">
        <v>153</v>
      </c>
      <c r="B154" s="60">
        <v>220953192</v>
      </c>
      <c r="C154" s="60" t="s">
        <v>570</v>
      </c>
      <c r="D154" s="60">
        <v>7.78</v>
      </c>
      <c r="E154" s="60">
        <v>9324808034</v>
      </c>
      <c r="F154" s="60" t="s">
        <v>571</v>
      </c>
      <c r="G154" s="60" t="s">
        <v>261</v>
      </c>
      <c r="H154" s="60" t="s">
        <v>124</v>
      </c>
      <c r="I154" s="60" t="s">
        <v>20</v>
      </c>
      <c r="J154" s="60">
        <v>1415600</v>
      </c>
      <c r="K154" s="60"/>
    </row>
    <row r="155" spans="1:11" ht="30" customHeight="1" x14ac:dyDescent="0.25">
      <c r="A155" s="60">
        <v>154</v>
      </c>
      <c r="B155" s="60">
        <v>220953536</v>
      </c>
      <c r="C155" s="60" t="s">
        <v>572</v>
      </c>
      <c r="D155" s="60">
        <v>7.73</v>
      </c>
      <c r="E155" s="60">
        <v>7013427462</v>
      </c>
      <c r="F155" s="60" t="s">
        <v>573</v>
      </c>
      <c r="G155" s="60" t="s">
        <v>261</v>
      </c>
      <c r="H155" s="60" t="s">
        <v>124</v>
      </c>
      <c r="I155" s="60" t="s">
        <v>20</v>
      </c>
      <c r="J155" s="60">
        <v>1415600</v>
      </c>
      <c r="K155" s="60"/>
    </row>
    <row r="156" spans="1:11" ht="30" customHeight="1" x14ac:dyDescent="0.25">
      <c r="A156" s="60">
        <v>155</v>
      </c>
      <c r="B156" s="60">
        <v>220953108</v>
      </c>
      <c r="C156" s="60" t="s">
        <v>574</v>
      </c>
      <c r="D156" s="60">
        <v>7.11</v>
      </c>
      <c r="E156" s="60">
        <v>8920582783</v>
      </c>
      <c r="F156" s="60" t="s">
        <v>575</v>
      </c>
      <c r="G156" s="60" t="s">
        <v>261</v>
      </c>
      <c r="H156" s="60" t="s">
        <v>124</v>
      </c>
      <c r="I156" s="60" t="s">
        <v>20</v>
      </c>
      <c r="J156" s="60">
        <v>1415600</v>
      </c>
      <c r="K156" s="60"/>
    </row>
    <row r="157" spans="1:11" ht="30" customHeight="1" x14ac:dyDescent="0.25">
      <c r="A157" s="60">
        <v>156</v>
      </c>
      <c r="B157" s="60">
        <v>220953544</v>
      </c>
      <c r="C157" s="60" t="s">
        <v>576</v>
      </c>
      <c r="D157" s="60">
        <v>7.09</v>
      </c>
      <c r="E157" s="60">
        <v>9028556224</v>
      </c>
      <c r="F157" s="60" t="s">
        <v>577</v>
      </c>
      <c r="G157" s="60" t="s">
        <v>261</v>
      </c>
      <c r="H157" s="60" t="s">
        <v>124</v>
      </c>
      <c r="I157" s="60" t="s">
        <v>20</v>
      </c>
      <c r="J157" s="60">
        <v>1415600</v>
      </c>
      <c r="K157" s="60"/>
    </row>
    <row r="158" spans="1:11" ht="30" customHeight="1" x14ac:dyDescent="0.25">
      <c r="A158" s="60">
        <v>157</v>
      </c>
      <c r="B158" s="60">
        <v>220905410</v>
      </c>
      <c r="C158" s="60" t="s">
        <v>578</v>
      </c>
      <c r="D158" s="60">
        <v>8.17</v>
      </c>
      <c r="E158" s="60">
        <v>9326180974</v>
      </c>
      <c r="F158" s="60" t="s">
        <v>579</v>
      </c>
      <c r="G158" s="60" t="s">
        <v>256</v>
      </c>
      <c r="H158" s="60" t="s">
        <v>124</v>
      </c>
      <c r="I158" s="60" t="s">
        <v>20</v>
      </c>
      <c r="J158" s="60">
        <v>1415600</v>
      </c>
      <c r="K158" s="60"/>
    </row>
    <row r="159" spans="1:11" ht="30" customHeight="1" x14ac:dyDescent="0.25">
      <c r="A159" s="60">
        <v>158</v>
      </c>
      <c r="B159" s="60">
        <v>220905009</v>
      </c>
      <c r="C159" s="60" t="s">
        <v>580</v>
      </c>
      <c r="D159" s="60">
        <v>7.75</v>
      </c>
      <c r="E159" s="60">
        <v>8879624196</v>
      </c>
      <c r="F159" s="60" t="s">
        <v>581</v>
      </c>
      <c r="G159" s="60" t="s">
        <v>256</v>
      </c>
      <c r="H159" s="60" t="s">
        <v>124</v>
      </c>
      <c r="I159" s="60" t="s">
        <v>20</v>
      </c>
      <c r="J159" s="60">
        <v>1415600</v>
      </c>
      <c r="K159" s="60"/>
    </row>
    <row r="160" spans="1:11" ht="30" customHeight="1" x14ac:dyDescent="0.25">
      <c r="A160" s="60">
        <v>159</v>
      </c>
      <c r="B160" s="60">
        <v>220905282</v>
      </c>
      <c r="C160" s="60" t="s">
        <v>582</v>
      </c>
      <c r="D160" s="60">
        <v>7.24</v>
      </c>
      <c r="E160" s="60">
        <v>7972984693</v>
      </c>
      <c r="F160" s="60" t="s">
        <v>583</v>
      </c>
      <c r="G160" s="60" t="s">
        <v>256</v>
      </c>
      <c r="H160" s="60" t="s">
        <v>124</v>
      </c>
      <c r="I160" s="60" t="s">
        <v>20</v>
      </c>
      <c r="J160" s="60">
        <v>1415600</v>
      </c>
      <c r="K160" s="60"/>
    </row>
    <row r="161" spans="1:11" ht="30" customHeight="1" x14ac:dyDescent="0.25">
      <c r="A161" s="60">
        <v>160</v>
      </c>
      <c r="B161" s="60">
        <v>220968094</v>
      </c>
      <c r="C161" s="60" t="s">
        <v>584</v>
      </c>
      <c r="D161" s="60">
        <v>8.19</v>
      </c>
      <c r="E161" s="60">
        <v>9205137011</v>
      </c>
      <c r="F161" s="60" t="s">
        <v>585</v>
      </c>
      <c r="G161" s="60" t="s">
        <v>384</v>
      </c>
      <c r="H161" s="60" t="s">
        <v>124</v>
      </c>
      <c r="I161" s="60" t="s">
        <v>20</v>
      </c>
      <c r="J161" s="60">
        <v>1415600</v>
      </c>
      <c r="K161" s="60"/>
    </row>
    <row r="162" spans="1:11" ht="30" customHeight="1" x14ac:dyDescent="0.25">
      <c r="A162" s="60">
        <v>161</v>
      </c>
      <c r="B162" s="60">
        <v>220907714</v>
      </c>
      <c r="C162" s="60" t="s">
        <v>586</v>
      </c>
      <c r="D162" s="60">
        <v>7.6</v>
      </c>
      <c r="E162" s="60">
        <v>9845612739</v>
      </c>
      <c r="F162" s="60" t="s">
        <v>587</v>
      </c>
      <c r="G162" s="60" t="s">
        <v>277</v>
      </c>
      <c r="H162" s="60" t="s">
        <v>124</v>
      </c>
      <c r="I162" s="60" t="s">
        <v>20</v>
      </c>
      <c r="J162" s="60">
        <v>1415600</v>
      </c>
      <c r="K162" s="60"/>
    </row>
    <row r="163" spans="1:11" ht="30" customHeight="1" x14ac:dyDescent="0.25">
      <c r="A163" s="60">
        <v>162</v>
      </c>
      <c r="B163" s="60">
        <v>220911670</v>
      </c>
      <c r="C163" s="60" t="s">
        <v>588</v>
      </c>
      <c r="D163" s="60">
        <v>8.7899999999999991</v>
      </c>
      <c r="E163" s="60">
        <v>6203340936</v>
      </c>
      <c r="F163" s="60" t="s">
        <v>589</v>
      </c>
      <c r="G163" s="60" t="s">
        <v>274</v>
      </c>
      <c r="H163" s="60" t="s">
        <v>124</v>
      </c>
      <c r="I163" s="60" t="s">
        <v>20</v>
      </c>
      <c r="J163" s="60">
        <v>1415600</v>
      </c>
      <c r="K163" s="60"/>
    </row>
    <row r="164" spans="1:11" ht="30" customHeight="1" x14ac:dyDescent="0.25">
      <c r="A164" s="60">
        <v>163</v>
      </c>
      <c r="B164" s="60">
        <v>220911572</v>
      </c>
      <c r="C164" s="60" t="s">
        <v>590</v>
      </c>
      <c r="D164" s="60">
        <v>8.5</v>
      </c>
      <c r="E164" s="60">
        <v>6362260697</v>
      </c>
      <c r="F164" s="60" t="s">
        <v>591</v>
      </c>
      <c r="G164" s="60" t="s">
        <v>274</v>
      </c>
      <c r="H164" s="60" t="s">
        <v>124</v>
      </c>
      <c r="I164" s="60" t="s">
        <v>20</v>
      </c>
      <c r="J164" s="60">
        <v>1415600</v>
      </c>
      <c r="K164" s="60"/>
    </row>
    <row r="165" spans="1:11" ht="30" customHeight="1" x14ac:dyDescent="0.25">
      <c r="A165" s="60">
        <v>164</v>
      </c>
      <c r="B165" s="60">
        <v>220911174</v>
      </c>
      <c r="C165" s="60" t="s">
        <v>592</v>
      </c>
      <c r="D165" s="60">
        <v>7.79</v>
      </c>
      <c r="E165" s="60">
        <v>9916880804</v>
      </c>
      <c r="F165" s="60" t="s">
        <v>593</v>
      </c>
      <c r="G165" s="60" t="s">
        <v>274</v>
      </c>
      <c r="H165" s="60" t="s">
        <v>124</v>
      </c>
      <c r="I165" s="60" t="s">
        <v>20</v>
      </c>
      <c r="J165" s="60">
        <v>1415600</v>
      </c>
      <c r="K165" s="60"/>
    </row>
    <row r="166" spans="1:11" ht="30" customHeight="1" x14ac:dyDescent="0.25">
      <c r="A166" s="60">
        <v>165</v>
      </c>
      <c r="B166" s="60">
        <v>220911520</v>
      </c>
      <c r="C166" s="60" t="s">
        <v>594</v>
      </c>
      <c r="D166" s="60">
        <v>7.47</v>
      </c>
      <c r="E166" s="60">
        <v>8089767495</v>
      </c>
      <c r="F166" s="60" t="s">
        <v>595</v>
      </c>
      <c r="G166" s="60" t="s">
        <v>274</v>
      </c>
      <c r="H166" s="60" t="s">
        <v>124</v>
      </c>
      <c r="I166" s="60" t="s">
        <v>20</v>
      </c>
      <c r="J166" s="60">
        <v>1415600</v>
      </c>
      <c r="K166" s="60"/>
    </row>
    <row r="167" spans="1:11" ht="30" customHeight="1" x14ac:dyDescent="0.25">
      <c r="A167" s="60">
        <v>166</v>
      </c>
      <c r="B167" s="60">
        <v>220911384</v>
      </c>
      <c r="C167" s="60" t="s">
        <v>596</v>
      </c>
      <c r="D167" s="60">
        <v>7.24</v>
      </c>
      <c r="E167" s="60">
        <v>9579009172</v>
      </c>
      <c r="F167" s="60" t="s">
        <v>597</v>
      </c>
      <c r="G167" s="60" t="s">
        <v>274</v>
      </c>
      <c r="H167" s="60" t="s">
        <v>124</v>
      </c>
      <c r="I167" s="60" t="s">
        <v>20</v>
      </c>
      <c r="J167" s="60">
        <v>1415600</v>
      </c>
      <c r="K167" s="60"/>
    </row>
    <row r="168" spans="1:11" ht="30" customHeight="1" x14ac:dyDescent="0.25">
      <c r="A168" s="60">
        <v>167</v>
      </c>
      <c r="B168" s="60">
        <v>220953050</v>
      </c>
      <c r="C168" s="60" t="s">
        <v>598</v>
      </c>
      <c r="D168" s="60">
        <v>8.9499999999999993</v>
      </c>
      <c r="E168" s="60">
        <v>9920854764</v>
      </c>
      <c r="F168" s="60" t="s">
        <v>599</v>
      </c>
      <c r="G168" s="60" t="s">
        <v>261</v>
      </c>
      <c r="H168" s="60" t="s">
        <v>125</v>
      </c>
      <c r="I168" s="60" t="s">
        <v>20</v>
      </c>
      <c r="J168" s="60">
        <v>1415600</v>
      </c>
      <c r="K168" s="60"/>
    </row>
    <row r="169" spans="1:11" ht="30" customHeight="1" x14ac:dyDescent="0.25">
      <c r="A169" s="60">
        <v>168</v>
      </c>
      <c r="B169" s="60">
        <v>220953146</v>
      </c>
      <c r="C169" s="60" t="s">
        <v>600</v>
      </c>
      <c r="D169" s="60">
        <v>7.69</v>
      </c>
      <c r="E169" s="60">
        <v>6309111442</v>
      </c>
      <c r="F169" s="60" t="s">
        <v>601</v>
      </c>
      <c r="G169" s="60" t="s">
        <v>261</v>
      </c>
      <c r="H169" s="60" t="s">
        <v>125</v>
      </c>
      <c r="I169" s="60" t="s">
        <v>20</v>
      </c>
      <c r="J169" s="60">
        <v>1415600</v>
      </c>
      <c r="K169" s="60"/>
    </row>
    <row r="170" spans="1:11" ht="30" customHeight="1" x14ac:dyDescent="0.25">
      <c r="A170" s="60">
        <v>169</v>
      </c>
      <c r="B170" s="60">
        <v>220905350</v>
      </c>
      <c r="C170" s="60" t="s">
        <v>602</v>
      </c>
      <c r="D170" s="60">
        <v>7.82</v>
      </c>
      <c r="E170" s="60">
        <v>9825992485</v>
      </c>
      <c r="F170" s="60" t="s">
        <v>603</v>
      </c>
      <c r="G170" s="60" t="s">
        <v>256</v>
      </c>
      <c r="H170" s="60" t="s">
        <v>125</v>
      </c>
      <c r="I170" s="60" t="s">
        <v>20</v>
      </c>
      <c r="J170" s="60">
        <v>1415600</v>
      </c>
      <c r="K170" s="60"/>
    </row>
    <row r="171" spans="1:11" ht="30" customHeight="1" x14ac:dyDescent="0.25">
      <c r="A171" s="60">
        <v>170</v>
      </c>
      <c r="B171" s="60">
        <v>220962008</v>
      </c>
      <c r="C171" s="60" t="s">
        <v>604</v>
      </c>
      <c r="D171" s="60">
        <v>7.29</v>
      </c>
      <c r="E171" s="60">
        <v>8762460437</v>
      </c>
      <c r="F171" s="60" t="s">
        <v>605</v>
      </c>
      <c r="G171" s="60" t="s">
        <v>253</v>
      </c>
      <c r="H171" s="60" t="s">
        <v>125</v>
      </c>
      <c r="I171" s="60" t="s">
        <v>20</v>
      </c>
      <c r="J171" s="60">
        <v>1415600</v>
      </c>
      <c r="K171" s="60"/>
    </row>
    <row r="172" spans="1:11" ht="30" customHeight="1" x14ac:dyDescent="0.25">
      <c r="A172" s="60">
        <v>171</v>
      </c>
      <c r="B172" s="60">
        <v>220961194</v>
      </c>
      <c r="C172" s="60" t="s">
        <v>606</v>
      </c>
      <c r="D172" s="60">
        <v>7.79</v>
      </c>
      <c r="E172" s="60">
        <v>7510593789</v>
      </c>
      <c r="F172" s="60" t="s">
        <v>607</v>
      </c>
      <c r="G172" s="60" t="s">
        <v>541</v>
      </c>
      <c r="H172" s="60" t="s">
        <v>125</v>
      </c>
      <c r="I172" s="60" t="s">
        <v>20</v>
      </c>
      <c r="J172" s="60">
        <v>1415600</v>
      </c>
      <c r="K172" s="60"/>
    </row>
    <row r="173" spans="1:11" ht="30" customHeight="1" x14ac:dyDescent="0.25">
      <c r="A173" s="60">
        <v>172</v>
      </c>
      <c r="B173" s="60">
        <v>220961090</v>
      </c>
      <c r="C173" s="60" t="s">
        <v>608</v>
      </c>
      <c r="D173" s="60">
        <v>7.39</v>
      </c>
      <c r="E173" s="60">
        <v>6398550731</v>
      </c>
      <c r="F173" s="60" t="s">
        <v>609</v>
      </c>
      <c r="G173" s="60" t="s">
        <v>541</v>
      </c>
      <c r="H173" s="60" t="s">
        <v>125</v>
      </c>
      <c r="I173" s="60" t="s">
        <v>20</v>
      </c>
      <c r="J173" s="60">
        <v>1415600</v>
      </c>
      <c r="K173" s="60"/>
    </row>
    <row r="174" spans="1:11" ht="30" customHeight="1" x14ac:dyDescent="0.25">
      <c r="A174" s="60">
        <v>173</v>
      </c>
      <c r="B174" s="60">
        <v>220968172</v>
      </c>
      <c r="C174" s="60" t="s">
        <v>610</v>
      </c>
      <c r="D174" s="60">
        <v>7.59</v>
      </c>
      <c r="E174" s="60">
        <v>8320363679</v>
      </c>
      <c r="F174" s="60" t="s">
        <v>611</v>
      </c>
      <c r="G174" s="60" t="s">
        <v>384</v>
      </c>
      <c r="H174" s="60" t="s">
        <v>125</v>
      </c>
      <c r="I174" s="60" t="s">
        <v>20</v>
      </c>
      <c r="J174" s="60">
        <v>1415600</v>
      </c>
      <c r="K174" s="60"/>
    </row>
    <row r="175" spans="1:11" ht="30" customHeight="1" x14ac:dyDescent="0.25">
      <c r="A175" s="60">
        <v>174</v>
      </c>
      <c r="B175" s="60">
        <v>220968384</v>
      </c>
      <c r="C175" s="60" t="s">
        <v>612</v>
      </c>
      <c r="D175" s="60">
        <v>7.48</v>
      </c>
      <c r="E175" s="60">
        <v>9686440580</v>
      </c>
      <c r="F175" s="60" t="s">
        <v>613</v>
      </c>
      <c r="G175" s="60" t="s">
        <v>384</v>
      </c>
      <c r="H175" s="60" t="s">
        <v>125</v>
      </c>
      <c r="I175" s="60" t="s">
        <v>20</v>
      </c>
      <c r="J175" s="60">
        <v>1415600</v>
      </c>
      <c r="K175" s="60"/>
    </row>
    <row r="176" spans="1:11" ht="30" customHeight="1" x14ac:dyDescent="0.25">
      <c r="A176" s="60">
        <v>175</v>
      </c>
      <c r="B176" s="60">
        <v>220906614</v>
      </c>
      <c r="C176" s="60" t="s">
        <v>614</v>
      </c>
      <c r="D176" s="60">
        <v>7.02</v>
      </c>
      <c r="E176" s="60">
        <v>7439462038</v>
      </c>
      <c r="F176" s="60" t="s">
        <v>615</v>
      </c>
      <c r="G176" s="60" t="s">
        <v>478</v>
      </c>
      <c r="H176" s="60" t="s">
        <v>125</v>
      </c>
      <c r="I176" s="60" t="s">
        <v>20</v>
      </c>
      <c r="J176" s="60">
        <v>1415600</v>
      </c>
      <c r="K176" s="60"/>
    </row>
    <row r="177" spans="1:11" ht="30" customHeight="1" x14ac:dyDescent="0.25">
      <c r="A177" s="60">
        <v>176</v>
      </c>
      <c r="B177" s="60">
        <v>220932070</v>
      </c>
      <c r="C177" s="60" t="s">
        <v>616</v>
      </c>
      <c r="D177" s="60">
        <v>7.45</v>
      </c>
      <c r="E177" s="60">
        <v>7019693487</v>
      </c>
      <c r="F177" s="60" t="s">
        <v>617</v>
      </c>
      <c r="G177" s="60" t="s">
        <v>289</v>
      </c>
      <c r="H177" s="60" t="s">
        <v>125</v>
      </c>
      <c r="I177" s="60" t="s">
        <v>20</v>
      </c>
      <c r="J177" s="60">
        <v>1415600</v>
      </c>
      <c r="K177" s="60"/>
    </row>
    <row r="178" spans="1:11" ht="30" customHeight="1" x14ac:dyDescent="0.25">
      <c r="A178" s="60">
        <v>177</v>
      </c>
      <c r="B178" s="60">
        <v>220911382</v>
      </c>
      <c r="C178" s="60" t="s">
        <v>618</v>
      </c>
      <c r="D178" s="60">
        <v>8.86</v>
      </c>
      <c r="E178" s="60">
        <v>8696015433</v>
      </c>
      <c r="F178" s="60" t="s">
        <v>619</v>
      </c>
      <c r="G178" s="60" t="s">
        <v>274</v>
      </c>
      <c r="H178" s="60" t="s">
        <v>125</v>
      </c>
      <c r="I178" s="60" t="s">
        <v>20</v>
      </c>
      <c r="J178" s="60">
        <v>1415600</v>
      </c>
      <c r="K178" s="60"/>
    </row>
    <row r="179" spans="1:11" ht="30" customHeight="1" x14ac:dyDescent="0.25">
      <c r="A179" s="60">
        <v>178</v>
      </c>
      <c r="B179" s="60">
        <v>220911678</v>
      </c>
      <c r="C179" s="60" t="s">
        <v>620</v>
      </c>
      <c r="D179" s="60">
        <v>7.96</v>
      </c>
      <c r="E179" s="60">
        <v>8008302604</v>
      </c>
      <c r="F179" s="60" t="s">
        <v>621</v>
      </c>
      <c r="G179" s="60" t="s">
        <v>274</v>
      </c>
      <c r="H179" s="60" t="s">
        <v>125</v>
      </c>
      <c r="I179" s="60" t="s">
        <v>20</v>
      </c>
      <c r="J179" s="60">
        <v>1415600</v>
      </c>
      <c r="K179" s="60"/>
    </row>
    <row r="180" spans="1:11" ht="30" customHeight="1" x14ac:dyDescent="0.25">
      <c r="A180" s="60">
        <v>179</v>
      </c>
      <c r="B180" s="60">
        <v>220911031</v>
      </c>
      <c r="C180" s="60" t="s">
        <v>622</v>
      </c>
      <c r="D180" s="60">
        <v>7.64</v>
      </c>
      <c r="E180" s="60">
        <v>7710937898</v>
      </c>
      <c r="F180" s="60" t="s">
        <v>623</v>
      </c>
      <c r="G180" s="60" t="s">
        <v>274</v>
      </c>
      <c r="H180" s="60" t="s">
        <v>125</v>
      </c>
      <c r="I180" s="60" t="s">
        <v>20</v>
      </c>
      <c r="J180" s="60">
        <v>1415600</v>
      </c>
      <c r="K180" s="60"/>
    </row>
    <row r="181" spans="1:11" ht="30" customHeight="1" x14ac:dyDescent="0.25">
      <c r="A181" s="60">
        <v>180</v>
      </c>
      <c r="B181" s="60">
        <v>220909216</v>
      </c>
      <c r="C181" s="60" t="s">
        <v>624</v>
      </c>
      <c r="D181" s="60">
        <v>8.15</v>
      </c>
      <c r="E181" s="60">
        <v>8455867900</v>
      </c>
      <c r="F181" s="60" t="s">
        <v>625</v>
      </c>
      <c r="G181" s="60" t="s">
        <v>312</v>
      </c>
      <c r="H181" s="60" t="s">
        <v>125</v>
      </c>
      <c r="I181" s="60" t="s">
        <v>20</v>
      </c>
      <c r="J181" s="60">
        <v>1415600</v>
      </c>
      <c r="K181" s="60"/>
    </row>
    <row r="182" spans="1:11" ht="30" customHeight="1" x14ac:dyDescent="0.25">
      <c r="A182" s="60">
        <v>181</v>
      </c>
      <c r="B182" s="60">
        <v>220909302</v>
      </c>
      <c r="C182" s="60" t="s">
        <v>626</v>
      </c>
      <c r="D182" s="60">
        <v>7.46</v>
      </c>
      <c r="E182" s="60">
        <v>7080851114</v>
      </c>
      <c r="F182" s="60" t="s">
        <v>627</v>
      </c>
      <c r="G182" s="60" t="s">
        <v>312</v>
      </c>
      <c r="H182" s="60" t="s">
        <v>125</v>
      </c>
      <c r="I182" s="60" t="s">
        <v>20</v>
      </c>
      <c r="J182" s="60">
        <v>1415600</v>
      </c>
      <c r="K182" s="60"/>
    </row>
    <row r="183" spans="1:11" ht="30" customHeight="1" x14ac:dyDescent="0.25">
      <c r="A183" s="60">
        <v>182</v>
      </c>
      <c r="B183" s="60">
        <v>220929136</v>
      </c>
      <c r="C183" s="60" t="s">
        <v>628</v>
      </c>
      <c r="D183" s="60">
        <v>7.5</v>
      </c>
      <c r="E183" s="60">
        <v>9717041067</v>
      </c>
      <c r="F183" s="60" t="s">
        <v>629</v>
      </c>
      <c r="G183" s="60" t="s">
        <v>317</v>
      </c>
      <c r="H183" s="60" t="s">
        <v>125</v>
      </c>
      <c r="I183" s="60" t="s">
        <v>20</v>
      </c>
      <c r="J183" s="60">
        <v>1415600</v>
      </c>
      <c r="K183" s="60"/>
    </row>
    <row r="184" spans="1:11" ht="30" customHeight="1" x14ac:dyDescent="0.25">
      <c r="A184" s="60">
        <v>183</v>
      </c>
      <c r="B184" s="165">
        <v>220953360</v>
      </c>
      <c r="C184" s="165" t="s">
        <v>630</v>
      </c>
      <c r="D184" s="165">
        <v>8.07</v>
      </c>
      <c r="E184" s="165">
        <v>9989087737</v>
      </c>
      <c r="F184" s="165" t="s">
        <v>631</v>
      </c>
      <c r="G184" s="60" t="s">
        <v>261</v>
      </c>
      <c r="H184" s="60" t="s">
        <v>127</v>
      </c>
      <c r="I184" s="60" t="s">
        <v>20</v>
      </c>
      <c r="J184" s="60">
        <v>1090000</v>
      </c>
      <c r="K184" s="60">
        <v>42400</v>
      </c>
    </row>
    <row r="185" spans="1:11" ht="30" customHeight="1" x14ac:dyDescent="0.25">
      <c r="A185" s="60">
        <v>184</v>
      </c>
      <c r="B185" s="60">
        <v>220905260</v>
      </c>
      <c r="C185" s="60" t="s">
        <v>632</v>
      </c>
      <c r="D185" s="60">
        <v>9.5299999999999994</v>
      </c>
      <c r="E185" s="60">
        <v>9963586926</v>
      </c>
      <c r="F185" s="60" t="s">
        <v>633</v>
      </c>
      <c r="G185" s="60" t="s">
        <v>256</v>
      </c>
      <c r="H185" s="60" t="s">
        <v>127</v>
      </c>
      <c r="I185" s="60" t="s">
        <v>20</v>
      </c>
      <c r="J185" s="60">
        <v>1090000</v>
      </c>
      <c r="K185" s="60">
        <v>42400</v>
      </c>
    </row>
    <row r="186" spans="1:11" ht="30" customHeight="1" x14ac:dyDescent="0.25">
      <c r="A186" s="60">
        <v>185</v>
      </c>
      <c r="B186" s="60">
        <v>220962076</v>
      </c>
      <c r="C186" s="60" t="s">
        <v>634</v>
      </c>
      <c r="D186" s="60">
        <v>8.33</v>
      </c>
      <c r="E186" s="60">
        <v>9773888772</v>
      </c>
      <c r="F186" s="60" t="s">
        <v>635</v>
      </c>
      <c r="G186" s="60" t="s">
        <v>253</v>
      </c>
      <c r="H186" s="60" t="s">
        <v>127</v>
      </c>
      <c r="I186" s="60" t="s">
        <v>20</v>
      </c>
      <c r="J186" s="60">
        <v>1090000</v>
      </c>
      <c r="K186" s="60">
        <v>42400</v>
      </c>
    </row>
    <row r="187" spans="1:11" ht="30" customHeight="1" x14ac:dyDescent="0.25">
      <c r="A187" s="60">
        <v>186</v>
      </c>
      <c r="B187" s="60">
        <v>220962131</v>
      </c>
      <c r="C187" s="60" t="s">
        <v>636</v>
      </c>
      <c r="D187" s="60">
        <v>8.14</v>
      </c>
      <c r="E187" s="60">
        <v>9908792349</v>
      </c>
      <c r="F187" s="60" t="s">
        <v>637</v>
      </c>
      <c r="G187" s="60" t="s">
        <v>253</v>
      </c>
      <c r="H187" s="60" t="s">
        <v>127</v>
      </c>
      <c r="I187" s="60" t="s">
        <v>20</v>
      </c>
      <c r="J187" s="60">
        <v>1090000</v>
      </c>
      <c r="K187" s="60">
        <v>42400</v>
      </c>
    </row>
    <row r="188" spans="1:11" ht="30" customHeight="1" x14ac:dyDescent="0.25">
      <c r="A188" s="60">
        <v>187</v>
      </c>
      <c r="B188" s="60">
        <v>220968002</v>
      </c>
      <c r="C188" s="60" t="s">
        <v>638</v>
      </c>
      <c r="D188" s="60">
        <v>9.6</v>
      </c>
      <c r="E188" s="60">
        <v>9591124158</v>
      </c>
      <c r="F188" s="60" t="s">
        <v>639</v>
      </c>
      <c r="G188" s="60" t="s">
        <v>384</v>
      </c>
      <c r="H188" s="60" t="s">
        <v>127</v>
      </c>
      <c r="I188" s="60" t="s">
        <v>20</v>
      </c>
      <c r="J188" s="60">
        <v>1090000</v>
      </c>
      <c r="K188" s="60">
        <v>42400</v>
      </c>
    </row>
    <row r="189" spans="1:11" ht="30" customHeight="1" x14ac:dyDescent="0.25">
      <c r="A189" s="60">
        <v>188</v>
      </c>
      <c r="B189" s="60">
        <v>220968374</v>
      </c>
      <c r="C189" s="60" t="s">
        <v>640</v>
      </c>
      <c r="D189" s="60">
        <v>8.8699999999999992</v>
      </c>
      <c r="E189" s="60">
        <v>9108751231</v>
      </c>
      <c r="F189" s="60" t="s">
        <v>641</v>
      </c>
      <c r="G189" s="60" t="s">
        <v>384</v>
      </c>
      <c r="H189" s="60" t="s">
        <v>127</v>
      </c>
      <c r="I189" s="60" t="s">
        <v>20</v>
      </c>
      <c r="J189" s="60">
        <v>1090000</v>
      </c>
      <c r="K189" s="60">
        <v>42400</v>
      </c>
    </row>
    <row r="190" spans="1:11" ht="30" customHeight="1" x14ac:dyDescent="0.25">
      <c r="A190" s="60">
        <v>189</v>
      </c>
      <c r="B190" s="60">
        <v>220968102</v>
      </c>
      <c r="C190" s="60" t="s">
        <v>642</v>
      </c>
      <c r="D190" s="60">
        <v>8.1199999999999992</v>
      </c>
      <c r="E190" s="60">
        <v>9920265585</v>
      </c>
      <c r="F190" s="60" t="s">
        <v>643</v>
      </c>
      <c r="G190" s="60" t="s">
        <v>384</v>
      </c>
      <c r="H190" s="60" t="s">
        <v>127</v>
      </c>
      <c r="I190" s="60" t="s">
        <v>20</v>
      </c>
      <c r="J190" s="60">
        <v>1090000</v>
      </c>
      <c r="K190" s="60">
        <v>42400</v>
      </c>
    </row>
    <row r="191" spans="1:11" ht="30" customHeight="1" x14ac:dyDescent="0.25">
      <c r="A191" s="60">
        <v>190</v>
      </c>
      <c r="B191" s="60">
        <v>220932194</v>
      </c>
      <c r="C191" s="60" t="s">
        <v>644</v>
      </c>
      <c r="D191" s="60">
        <v>7.63</v>
      </c>
      <c r="E191" s="60">
        <v>9167183080</v>
      </c>
      <c r="F191" s="60" t="s">
        <v>645</v>
      </c>
      <c r="G191" s="60" t="s">
        <v>289</v>
      </c>
      <c r="H191" s="60" t="s">
        <v>127</v>
      </c>
      <c r="I191" s="60" t="s">
        <v>20</v>
      </c>
      <c r="J191" s="60">
        <v>1090000</v>
      </c>
      <c r="K191" s="60">
        <v>42400</v>
      </c>
    </row>
    <row r="192" spans="1:11" ht="30" customHeight="1" x14ac:dyDescent="0.25">
      <c r="A192" s="60">
        <v>191</v>
      </c>
      <c r="B192" s="60">
        <v>220911460</v>
      </c>
      <c r="C192" s="60" t="s">
        <v>646</v>
      </c>
      <c r="D192" s="60">
        <v>7.71</v>
      </c>
      <c r="E192" s="60">
        <v>9985844777</v>
      </c>
      <c r="F192" s="60" t="s">
        <v>647</v>
      </c>
      <c r="G192" s="60" t="s">
        <v>274</v>
      </c>
      <c r="H192" s="60" t="s">
        <v>127</v>
      </c>
      <c r="I192" s="60" t="s">
        <v>20</v>
      </c>
      <c r="J192" s="60">
        <v>1090000</v>
      </c>
      <c r="K192" s="60">
        <v>42400</v>
      </c>
    </row>
    <row r="193" spans="1:11" ht="30" customHeight="1" x14ac:dyDescent="0.25">
      <c r="A193" s="60">
        <v>192</v>
      </c>
      <c r="B193" s="60">
        <v>220909468</v>
      </c>
      <c r="C193" s="60" t="s">
        <v>648</v>
      </c>
      <c r="D193" s="60">
        <v>7.55</v>
      </c>
      <c r="E193" s="60">
        <v>8169204689</v>
      </c>
      <c r="F193" s="60" t="s">
        <v>649</v>
      </c>
      <c r="G193" s="60" t="s">
        <v>312</v>
      </c>
      <c r="H193" s="60" t="s">
        <v>127</v>
      </c>
      <c r="I193" s="60" t="s">
        <v>20</v>
      </c>
      <c r="J193" s="60">
        <v>1090000</v>
      </c>
      <c r="K193" s="60">
        <v>42400</v>
      </c>
    </row>
    <row r="194" spans="1:11" ht="30" customHeight="1" x14ac:dyDescent="0.25">
      <c r="A194" s="60">
        <v>193</v>
      </c>
      <c r="B194" s="60">
        <v>220905300</v>
      </c>
      <c r="C194" s="60" t="s">
        <v>650</v>
      </c>
      <c r="D194" s="60">
        <v>9.31</v>
      </c>
      <c r="E194" s="60">
        <v>9380365024</v>
      </c>
      <c r="F194" s="60" t="s">
        <v>651</v>
      </c>
      <c r="G194" s="60" t="s">
        <v>256</v>
      </c>
      <c r="H194" s="60" t="s">
        <v>129</v>
      </c>
      <c r="I194" s="60" t="s">
        <v>20</v>
      </c>
      <c r="J194" s="60">
        <v>1400000</v>
      </c>
      <c r="K194" s="60">
        <v>50000</v>
      </c>
    </row>
    <row r="195" spans="1:11" ht="30" customHeight="1" x14ac:dyDescent="0.25">
      <c r="A195" s="60">
        <v>194</v>
      </c>
      <c r="B195" s="60">
        <v>220905460</v>
      </c>
      <c r="C195" s="60" t="s">
        <v>652</v>
      </c>
      <c r="D195" s="60">
        <v>8.73</v>
      </c>
      <c r="E195" s="60">
        <v>6352055859</v>
      </c>
      <c r="F195" s="60" t="s">
        <v>653</v>
      </c>
      <c r="G195" s="60" t="s">
        <v>256</v>
      </c>
      <c r="H195" s="60" t="s">
        <v>129</v>
      </c>
      <c r="I195" s="60" t="s">
        <v>20</v>
      </c>
      <c r="J195" s="60">
        <v>1400000</v>
      </c>
      <c r="K195" s="60">
        <v>50000</v>
      </c>
    </row>
    <row r="196" spans="1:11" ht="30" customHeight="1" x14ac:dyDescent="0.25">
      <c r="A196" s="60">
        <v>195</v>
      </c>
      <c r="B196" s="60">
        <v>220962324</v>
      </c>
      <c r="C196" s="60" t="s">
        <v>654</v>
      </c>
      <c r="D196" s="60">
        <v>9.18</v>
      </c>
      <c r="E196" s="60">
        <v>9971193805</v>
      </c>
      <c r="F196" s="60" t="s">
        <v>655</v>
      </c>
      <c r="G196" s="60" t="s">
        <v>253</v>
      </c>
      <c r="H196" s="60" t="s">
        <v>129</v>
      </c>
      <c r="I196" s="60" t="s">
        <v>20</v>
      </c>
      <c r="J196" s="60">
        <v>1400000</v>
      </c>
      <c r="K196" s="60">
        <v>50000</v>
      </c>
    </row>
    <row r="197" spans="1:11" ht="30" customHeight="1" x14ac:dyDescent="0.25">
      <c r="A197" s="60">
        <v>196</v>
      </c>
      <c r="B197" s="60">
        <v>220968096</v>
      </c>
      <c r="C197" s="60" t="s">
        <v>656</v>
      </c>
      <c r="D197" s="60">
        <v>9.17</v>
      </c>
      <c r="E197" s="60">
        <v>8660062493</v>
      </c>
      <c r="F197" s="60" t="s">
        <v>657</v>
      </c>
      <c r="G197" s="60" t="s">
        <v>384</v>
      </c>
      <c r="H197" s="60" t="s">
        <v>129</v>
      </c>
      <c r="I197" s="60" t="s">
        <v>20</v>
      </c>
      <c r="J197" s="60">
        <v>1400000</v>
      </c>
      <c r="K197" s="60">
        <v>50000</v>
      </c>
    </row>
    <row r="198" spans="1:11" ht="30" customHeight="1" x14ac:dyDescent="0.25">
      <c r="A198" s="60">
        <v>197</v>
      </c>
      <c r="B198" s="60">
        <v>220968430</v>
      </c>
      <c r="C198" s="60" t="s">
        <v>658</v>
      </c>
      <c r="D198" s="60">
        <v>8.57</v>
      </c>
      <c r="E198" s="60">
        <v>7977309736</v>
      </c>
      <c r="F198" s="60" t="s">
        <v>659</v>
      </c>
      <c r="G198" s="60" t="s">
        <v>384</v>
      </c>
      <c r="H198" s="60" t="s">
        <v>129</v>
      </c>
      <c r="I198" s="60" t="s">
        <v>20</v>
      </c>
      <c r="J198" s="60">
        <v>1400000</v>
      </c>
      <c r="K198" s="60">
        <v>50000</v>
      </c>
    </row>
    <row r="199" spans="1:11" ht="30" customHeight="1" x14ac:dyDescent="0.25">
      <c r="A199" s="60">
        <v>198</v>
      </c>
      <c r="B199" s="60">
        <v>220968426</v>
      </c>
      <c r="C199" s="60" t="s">
        <v>660</v>
      </c>
      <c r="D199" s="60">
        <v>8.5299999999999994</v>
      </c>
      <c r="E199" s="60">
        <v>9330956584</v>
      </c>
      <c r="F199" s="60" t="s">
        <v>661</v>
      </c>
      <c r="G199" s="60" t="s">
        <v>384</v>
      </c>
      <c r="H199" s="60" t="s">
        <v>129</v>
      </c>
      <c r="I199" s="60" t="s">
        <v>20</v>
      </c>
      <c r="J199" s="60">
        <v>1400000</v>
      </c>
      <c r="K199" s="60">
        <v>50000</v>
      </c>
    </row>
    <row r="200" spans="1:11" ht="30" customHeight="1" x14ac:dyDescent="0.25">
      <c r="A200" s="60">
        <v>199</v>
      </c>
      <c r="B200" s="60">
        <v>220911284</v>
      </c>
      <c r="C200" s="60" t="s">
        <v>662</v>
      </c>
      <c r="D200" s="60">
        <v>8.7799999999999994</v>
      </c>
      <c r="E200" s="60">
        <v>8639133476</v>
      </c>
      <c r="F200" s="60" t="s">
        <v>663</v>
      </c>
      <c r="G200" s="60" t="s">
        <v>274</v>
      </c>
      <c r="H200" s="60" t="s">
        <v>129</v>
      </c>
      <c r="I200" s="60" t="s">
        <v>20</v>
      </c>
      <c r="J200" s="60">
        <v>1400000</v>
      </c>
      <c r="K200" s="60">
        <v>50000</v>
      </c>
    </row>
    <row r="201" spans="1:11" ht="30" customHeight="1" x14ac:dyDescent="0.25">
      <c r="A201" s="60">
        <v>200</v>
      </c>
      <c r="B201" s="60">
        <v>220906576</v>
      </c>
      <c r="C201" s="60" t="s">
        <v>664</v>
      </c>
      <c r="D201" s="60">
        <v>7.94</v>
      </c>
      <c r="E201" s="60">
        <v>9769289019</v>
      </c>
      <c r="F201" s="60" t="s">
        <v>665</v>
      </c>
      <c r="G201" s="60" t="s">
        <v>478</v>
      </c>
      <c r="H201" s="60" t="s">
        <v>666</v>
      </c>
      <c r="I201" s="60" t="s">
        <v>20</v>
      </c>
      <c r="J201" s="60">
        <v>1253278</v>
      </c>
      <c r="K201" s="60">
        <v>40000</v>
      </c>
    </row>
    <row r="202" spans="1:11" ht="30" customHeight="1" x14ac:dyDescent="0.25">
      <c r="A202" s="60">
        <v>201</v>
      </c>
      <c r="B202" s="60">
        <v>220909002</v>
      </c>
      <c r="C202" s="60" t="s">
        <v>667</v>
      </c>
      <c r="D202" s="60">
        <v>8.4700000000000006</v>
      </c>
      <c r="E202" s="60">
        <v>7659954133</v>
      </c>
      <c r="F202" s="60" t="s">
        <v>668</v>
      </c>
      <c r="G202" s="60" t="s">
        <v>312</v>
      </c>
      <c r="H202" s="60" t="s">
        <v>666</v>
      </c>
      <c r="I202" s="60" t="s">
        <v>20</v>
      </c>
      <c r="J202" s="60">
        <v>1253278</v>
      </c>
      <c r="K202" s="60">
        <v>40000</v>
      </c>
    </row>
    <row r="203" spans="1:11" ht="30" customHeight="1" x14ac:dyDescent="0.25">
      <c r="A203" s="60">
        <v>202</v>
      </c>
      <c r="B203" s="60">
        <v>220909112</v>
      </c>
      <c r="C203" s="60" t="s">
        <v>669</v>
      </c>
      <c r="D203" s="60">
        <v>7.52</v>
      </c>
      <c r="E203" s="60">
        <v>9645644492</v>
      </c>
      <c r="F203" s="60" t="s">
        <v>670</v>
      </c>
      <c r="G203" s="60" t="s">
        <v>312</v>
      </c>
      <c r="H203" s="60" t="s">
        <v>666</v>
      </c>
      <c r="I203" s="60" t="s">
        <v>20</v>
      </c>
      <c r="J203" s="60">
        <v>1253278</v>
      </c>
      <c r="K203" s="60">
        <v>40000</v>
      </c>
    </row>
    <row r="204" spans="1:11" ht="30" customHeight="1" x14ac:dyDescent="0.25">
      <c r="A204" s="60">
        <v>203</v>
      </c>
      <c r="B204" s="60">
        <v>220953164</v>
      </c>
      <c r="C204" s="60" t="s">
        <v>671</v>
      </c>
      <c r="D204" s="60">
        <v>7.86</v>
      </c>
      <c r="E204" s="60">
        <v>8767183957</v>
      </c>
      <c r="F204" s="60" t="s">
        <v>672</v>
      </c>
      <c r="G204" s="60" t="s">
        <v>261</v>
      </c>
      <c r="H204" s="60" t="s">
        <v>673</v>
      </c>
      <c r="I204" s="60" t="s">
        <v>20</v>
      </c>
      <c r="J204" s="60">
        <v>1253278</v>
      </c>
      <c r="K204" s="60">
        <v>40000</v>
      </c>
    </row>
    <row r="205" spans="1:11" ht="30" customHeight="1" x14ac:dyDescent="0.25">
      <c r="A205" s="60">
        <v>204</v>
      </c>
      <c r="B205" s="60">
        <v>220962158</v>
      </c>
      <c r="C205" s="60" t="s">
        <v>674</v>
      </c>
      <c r="D205" s="60">
        <v>8.23</v>
      </c>
      <c r="E205" s="60">
        <v>9326069202</v>
      </c>
      <c r="F205" s="60" t="s">
        <v>675</v>
      </c>
      <c r="G205" s="60" t="s">
        <v>253</v>
      </c>
      <c r="H205" s="60" t="s">
        <v>673</v>
      </c>
      <c r="I205" s="60" t="s">
        <v>20</v>
      </c>
      <c r="J205" s="60">
        <v>1253278</v>
      </c>
      <c r="K205" s="60">
        <v>40000</v>
      </c>
    </row>
    <row r="206" spans="1:11" ht="30" customHeight="1" x14ac:dyDescent="0.25">
      <c r="A206" s="60">
        <v>205</v>
      </c>
      <c r="B206" s="60">
        <v>220907488</v>
      </c>
      <c r="C206" s="60" t="s">
        <v>676</v>
      </c>
      <c r="D206" s="60">
        <v>8.56</v>
      </c>
      <c r="E206" s="60">
        <v>9766210212</v>
      </c>
      <c r="F206" s="60" t="s">
        <v>677</v>
      </c>
      <c r="G206" s="60" t="s">
        <v>277</v>
      </c>
      <c r="H206" s="60" t="s">
        <v>678</v>
      </c>
      <c r="I206" s="60" t="s">
        <v>20</v>
      </c>
      <c r="J206" s="60">
        <v>1620012</v>
      </c>
      <c r="K206" s="60">
        <v>40000</v>
      </c>
    </row>
    <row r="207" spans="1:11" ht="30" customHeight="1" x14ac:dyDescent="0.25">
      <c r="A207" s="60">
        <v>206</v>
      </c>
      <c r="B207" s="60">
        <v>220905526</v>
      </c>
      <c r="C207" s="60" t="s">
        <v>679</v>
      </c>
      <c r="D207" s="60">
        <v>9.4499999999999993</v>
      </c>
      <c r="E207" s="60">
        <v>7736308094</v>
      </c>
      <c r="F207" s="60" t="s">
        <v>680</v>
      </c>
      <c r="G207" s="60" t="s">
        <v>256</v>
      </c>
      <c r="H207" s="60" t="s">
        <v>134</v>
      </c>
      <c r="I207" s="60" t="s">
        <v>20</v>
      </c>
      <c r="J207" s="60">
        <v>1950000</v>
      </c>
      <c r="K207" s="60">
        <v>50000</v>
      </c>
    </row>
    <row r="208" spans="1:11" ht="30" customHeight="1" x14ac:dyDescent="0.25">
      <c r="A208" s="60">
        <v>207</v>
      </c>
      <c r="B208" s="60">
        <v>220905028</v>
      </c>
      <c r="C208" s="60" t="s">
        <v>681</v>
      </c>
      <c r="D208" s="60">
        <v>8.6199999999999992</v>
      </c>
      <c r="E208" s="60">
        <v>7807336653</v>
      </c>
      <c r="F208" s="60" t="s">
        <v>682</v>
      </c>
      <c r="G208" s="60" t="s">
        <v>256</v>
      </c>
      <c r="H208" s="60" t="s">
        <v>134</v>
      </c>
      <c r="I208" s="60" t="s">
        <v>20</v>
      </c>
      <c r="J208" s="60">
        <v>1950000</v>
      </c>
      <c r="K208" s="60">
        <v>50000</v>
      </c>
    </row>
    <row r="209" spans="1:11" ht="30" customHeight="1" x14ac:dyDescent="0.25">
      <c r="A209" s="60">
        <v>208</v>
      </c>
      <c r="B209" s="60">
        <v>220911298</v>
      </c>
      <c r="C209" s="60" t="s">
        <v>683</v>
      </c>
      <c r="D209" s="60">
        <v>8.7799999999999994</v>
      </c>
      <c r="E209" s="60">
        <v>9148691637</v>
      </c>
      <c r="F209" s="60" t="s">
        <v>684</v>
      </c>
      <c r="G209" s="60" t="s">
        <v>274</v>
      </c>
      <c r="H209" s="60" t="s">
        <v>134</v>
      </c>
      <c r="I209" s="60" t="s">
        <v>20</v>
      </c>
      <c r="J209" s="60">
        <v>1950000</v>
      </c>
      <c r="K209" s="60">
        <v>50000</v>
      </c>
    </row>
    <row r="210" spans="1:11" ht="30" customHeight="1" x14ac:dyDescent="0.25">
      <c r="A210" s="60">
        <v>209</v>
      </c>
      <c r="B210" s="60">
        <v>220933140</v>
      </c>
      <c r="C210" s="60" t="s">
        <v>685</v>
      </c>
      <c r="D210" s="60">
        <v>7.76</v>
      </c>
      <c r="E210" s="60">
        <v>9811444428</v>
      </c>
      <c r="F210" s="60" t="s">
        <v>686</v>
      </c>
      <c r="G210" s="60" t="s">
        <v>330</v>
      </c>
      <c r="H210" s="60" t="s">
        <v>135</v>
      </c>
      <c r="I210" s="60" t="s">
        <v>19</v>
      </c>
      <c r="J210" s="60">
        <v>850000</v>
      </c>
      <c r="K210" s="60"/>
    </row>
    <row r="211" spans="1:11" ht="30" customHeight="1" x14ac:dyDescent="0.25">
      <c r="A211" s="60">
        <v>210</v>
      </c>
      <c r="B211" s="60">
        <v>220953150</v>
      </c>
      <c r="C211" s="60" t="s">
        <v>687</v>
      </c>
      <c r="D211" s="60">
        <v>8.1199999999999992</v>
      </c>
      <c r="E211" s="60">
        <v>7017930708</v>
      </c>
      <c r="F211" s="60" t="s">
        <v>688</v>
      </c>
      <c r="G211" s="60" t="s">
        <v>261</v>
      </c>
      <c r="H211" s="60" t="s">
        <v>135</v>
      </c>
      <c r="I211" s="60" t="s">
        <v>19</v>
      </c>
      <c r="J211" s="60">
        <v>850000</v>
      </c>
      <c r="K211" s="60"/>
    </row>
    <row r="212" spans="1:11" ht="30" customHeight="1" x14ac:dyDescent="0.25">
      <c r="A212" s="60">
        <v>211</v>
      </c>
      <c r="B212" s="60">
        <v>220968422</v>
      </c>
      <c r="C212" s="60" t="s">
        <v>689</v>
      </c>
      <c r="D212" s="60">
        <v>8.44</v>
      </c>
      <c r="E212" s="60">
        <v>8962446441</v>
      </c>
      <c r="F212" s="60" t="s">
        <v>690</v>
      </c>
      <c r="G212" s="60" t="s">
        <v>384</v>
      </c>
      <c r="H212" s="60" t="s">
        <v>135</v>
      </c>
      <c r="I212" s="60" t="s">
        <v>19</v>
      </c>
      <c r="J212" s="60">
        <v>850000</v>
      </c>
      <c r="K212" s="60"/>
    </row>
    <row r="213" spans="1:11" ht="30" customHeight="1" x14ac:dyDescent="0.25">
      <c r="A213" s="60">
        <v>212</v>
      </c>
      <c r="B213" s="60">
        <v>220968304</v>
      </c>
      <c r="C213" s="60" t="s">
        <v>691</v>
      </c>
      <c r="D213" s="60">
        <v>8.14</v>
      </c>
      <c r="E213" s="60">
        <v>9920729401</v>
      </c>
      <c r="F213" s="60" t="s">
        <v>692</v>
      </c>
      <c r="G213" s="60" t="s">
        <v>384</v>
      </c>
      <c r="H213" s="60" t="s">
        <v>135</v>
      </c>
      <c r="I213" s="60" t="s">
        <v>19</v>
      </c>
      <c r="J213" s="60">
        <v>850000</v>
      </c>
      <c r="K213" s="60"/>
    </row>
    <row r="214" spans="1:11" ht="30" customHeight="1" x14ac:dyDescent="0.25">
      <c r="A214" s="60">
        <v>213</v>
      </c>
      <c r="B214" s="60">
        <v>210911168</v>
      </c>
      <c r="C214" s="60" t="s">
        <v>693</v>
      </c>
      <c r="D214" s="60">
        <v>8.7799999999999994</v>
      </c>
      <c r="E214" s="60">
        <v>9337246522</v>
      </c>
      <c r="F214" s="60" t="s">
        <v>694</v>
      </c>
      <c r="G214" s="60" t="s">
        <v>274</v>
      </c>
      <c r="H214" s="60" t="s">
        <v>135</v>
      </c>
      <c r="I214" s="60" t="s">
        <v>19</v>
      </c>
      <c r="J214" s="60">
        <v>850000</v>
      </c>
      <c r="K214" s="60"/>
    </row>
    <row r="215" spans="1:11" ht="30" customHeight="1" x14ac:dyDescent="0.25">
      <c r="A215" s="60">
        <v>214</v>
      </c>
      <c r="B215" s="60">
        <v>220911462</v>
      </c>
      <c r="C215" s="60" t="s">
        <v>695</v>
      </c>
      <c r="D215" s="60">
        <v>8.3000000000000007</v>
      </c>
      <c r="E215" s="60">
        <v>8420049766</v>
      </c>
      <c r="F215" s="60" t="s">
        <v>696</v>
      </c>
      <c r="G215" s="60" t="s">
        <v>274</v>
      </c>
      <c r="H215" s="60" t="s">
        <v>135</v>
      </c>
      <c r="I215" s="60" t="s">
        <v>19</v>
      </c>
      <c r="J215" s="60">
        <v>850000</v>
      </c>
      <c r="K215" s="60"/>
    </row>
    <row r="216" spans="1:11" ht="30" customHeight="1" x14ac:dyDescent="0.25">
      <c r="A216" s="60">
        <v>215</v>
      </c>
      <c r="B216" s="60">
        <v>220905100</v>
      </c>
      <c r="C216" s="60" t="s">
        <v>697</v>
      </c>
      <c r="D216" s="60">
        <v>7.24</v>
      </c>
      <c r="E216" s="60">
        <v>9971113634</v>
      </c>
      <c r="F216" s="60" t="s">
        <v>698</v>
      </c>
      <c r="G216" s="60" t="s">
        <v>256</v>
      </c>
      <c r="H216" s="60" t="s">
        <v>136</v>
      </c>
      <c r="I216" s="60" t="s">
        <v>20</v>
      </c>
      <c r="J216" s="60">
        <v>1377100</v>
      </c>
      <c r="K216" s="60">
        <v>80000</v>
      </c>
    </row>
    <row r="217" spans="1:11" ht="30" customHeight="1" x14ac:dyDescent="0.25">
      <c r="A217" s="60">
        <v>216</v>
      </c>
      <c r="B217" s="60">
        <v>220905203</v>
      </c>
      <c r="C217" s="60" t="s">
        <v>699</v>
      </c>
      <c r="D217" s="60">
        <v>7.22</v>
      </c>
      <c r="E217" s="60">
        <v>8209056546</v>
      </c>
      <c r="F217" s="60" t="s">
        <v>700</v>
      </c>
      <c r="G217" s="60" t="s">
        <v>256</v>
      </c>
      <c r="H217" s="60" t="s">
        <v>136</v>
      </c>
      <c r="I217" s="60" t="s">
        <v>20</v>
      </c>
      <c r="J217" s="60">
        <v>1377100</v>
      </c>
      <c r="K217" s="60">
        <v>80000</v>
      </c>
    </row>
    <row r="218" spans="1:11" ht="30" customHeight="1" x14ac:dyDescent="0.25">
      <c r="A218" s="60">
        <v>217</v>
      </c>
      <c r="B218" s="60">
        <v>220961064</v>
      </c>
      <c r="C218" s="60" t="s">
        <v>701</v>
      </c>
      <c r="D218" s="60">
        <v>8.15</v>
      </c>
      <c r="E218" s="60">
        <v>9769928403</v>
      </c>
      <c r="F218" s="60" t="s">
        <v>702</v>
      </c>
      <c r="G218" s="60" t="s">
        <v>541</v>
      </c>
      <c r="H218" s="60" t="s">
        <v>136</v>
      </c>
      <c r="I218" s="60" t="s">
        <v>20</v>
      </c>
      <c r="J218" s="60">
        <v>1377100</v>
      </c>
      <c r="K218" s="60">
        <v>80000</v>
      </c>
    </row>
    <row r="219" spans="1:11" ht="30" customHeight="1" x14ac:dyDescent="0.25">
      <c r="A219" s="60">
        <v>218</v>
      </c>
      <c r="B219" s="60">
        <v>220911624</v>
      </c>
      <c r="C219" s="60" t="s">
        <v>703</v>
      </c>
      <c r="D219" s="60">
        <v>7.45</v>
      </c>
      <c r="E219" s="60">
        <v>8872567128</v>
      </c>
      <c r="F219" s="60" t="s">
        <v>704</v>
      </c>
      <c r="G219" s="60" t="s">
        <v>274</v>
      </c>
      <c r="H219" s="60" t="s">
        <v>136</v>
      </c>
      <c r="I219" s="60" t="s">
        <v>20</v>
      </c>
      <c r="J219" s="60">
        <v>1377100</v>
      </c>
      <c r="K219" s="60">
        <v>80000</v>
      </c>
    </row>
    <row r="220" spans="1:11" ht="30" customHeight="1" x14ac:dyDescent="0.25">
      <c r="A220" s="60">
        <v>219</v>
      </c>
      <c r="B220" s="60">
        <v>220953604</v>
      </c>
      <c r="C220" s="60" t="s">
        <v>705</v>
      </c>
      <c r="D220" s="60">
        <v>7.36</v>
      </c>
      <c r="E220" s="60">
        <v>9315521202</v>
      </c>
      <c r="F220" s="60" t="s">
        <v>706</v>
      </c>
      <c r="G220" s="60" t="s">
        <v>261</v>
      </c>
      <c r="H220" s="60" t="s">
        <v>707</v>
      </c>
      <c r="I220" s="60" t="s">
        <v>19</v>
      </c>
      <c r="J220" s="60">
        <v>760000</v>
      </c>
      <c r="K220" s="60"/>
    </row>
    <row r="221" spans="1:11" ht="30" customHeight="1" x14ac:dyDescent="0.25">
      <c r="A221" s="60">
        <v>220</v>
      </c>
      <c r="B221" s="60">
        <v>220953264</v>
      </c>
      <c r="C221" s="60" t="s">
        <v>708</v>
      </c>
      <c r="D221" s="60">
        <v>6.92</v>
      </c>
      <c r="E221" s="60">
        <v>9866056570</v>
      </c>
      <c r="F221" s="60" t="s">
        <v>709</v>
      </c>
      <c r="G221" s="60" t="s">
        <v>261</v>
      </c>
      <c r="H221" s="60" t="s">
        <v>707</v>
      </c>
      <c r="I221" s="60" t="s">
        <v>19</v>
      </c>
      <c r="J221" s="60">
        <v>760000</v>
      </c>
      <c r="K221" s="60"/>
    </row>
    <row r="222" spans="1:11" ht="30" customHeight="1" x14ac:dyDescent="0.25">
      <c r="A222" s="60">
        <v>221</v>
      </c>
      <c r="B222" s="60">
        <v>220953576</v>
      </c>
      <c r="C222" s="60" t="s">
        <v>710</v>
      </c>
      <c r="D222" s="60">
        <v>6.62</v>
      </c>
      <c r="E222" s="60">
        <v>6361328159</v>
      </c>
      <c r="F222" s="60" t="s">
        <v>711</v>
      </c>
      <c r="G222" s="60" t="s">
        <v>261</v>
      </c>
      <c r="H222" s="60" t="s">
        <v>707</v>
      </c>
      <c r="I222" s="60" t="s">
        <v>19</v>
      </c>
      <c r="J222" s="60">
        <v>760000</v>
      </c>
      <c r="K222" s="60"/>
    </row>
    <row r="223" spans="1:11" ht="30" customHeight="1" x14ac:dyDescent="0.25">
      <c r="A223" s="60">
        <v>222</v>
      </c>
      <c r="B223" s="60">
        <v>220905200</v>
      </c>
      <c r="C223" s="60" t="s">
        <v>712</v>
      </c>
      <c r="D223" s="60">
        <v>7.42</v>
      </c>
      <c r="E223" s="60">
        <v>9959171065</v>
      </c>
      <c r="F223" s="60" t="s">
        <v>713</v>
      </c>
      <c r="G223" s="60" t="s">
        <v>256</v>
      </c>
      <c r="H223" s="60" t="s">
        <v>707</v>
      </c>
      <c r="I223" s="60" t="s">
        <v>19</v>
      </c>
      <c r="J223" s="60">
        <v>760000</v>
      </c>
      <c r="K223" s="60"/>
    </row>
    <row r="224" spans="1:11" ht="30" customHeight="1" x14ac:dyDescent="0.25">
      <c r="A224" s="60">
        <v>223</v>
      </c>
      <c r="B224" s="60">
        <v>220905140</v>
      </c>
      <c r="C224" s="60" t="s">
        <v>714</v>
      </c>
      <c r="D224" s="60">
        <v>7.22</v>
      </c>
      <c r="E224" s="60">
        <v>7352314442</v>
      </c>
      <c r="F224" s="60" t="s">
        <v>715</v>
      </c>
      <c r="G224" s="60" t="s">
        <v>256</v>
      </c>
      <c r="H224" s="60" t="s">
        <v>707</v>
      </c>
      <c r="I224" s="60" t="s">
        <v>19</v>
      </c>
      <c r="J224" s="60">
        <v>760000</v>
      </c>
      <c r="K224" s="60"/>
    </row>
    <row r="225" spans="1:11" ht="30" customHeight="1" x14ac:dyDescent="0.25">
      <c r="A225" s="60">
        <v>224</v>
      </c>
      <c r="B225" s="60">
        <v>220905249</v>
      </c>
      <c r="C225" s="60" t="s">
        <v>716</v>
      </c>
      <c r="D225" s="60">
        <v>6.97</v>
      </c>
      <c r="E225" s="60">
        <v>9072162151</v>
      </c>
      <c r="F225" s="60" t="s">
        <v>717</v>
      </c>
      <c r="G225" s="60" t="s">
        <v>256</v>
      </c>
      <c r="H225" s="60" t="s">
        <v>707</v>
      </c>
      <c r="I225" s="60" t="s">
        <v>19</v>
      </c>
      <c r="J225" s="60">
        <v>760000</v>
      </c>
      <c r="K225" s="60"/>
    </row>
    <row r="226" spans="1:11" ht="30" customHeight="1" x14ac:dyDescent="0.25">
      <c r="A226" s="60">
        <v>225</v>
      </c>
      <c r="B226" s="60">
        <v>220905191</v>
      </c>
      <c r="C226" s="60" t="s">
        <v>718</v>
      </c>
      <c r="D226" s="60">
        <v>6.55</v>
      </c>
      <c r="E226" s="60">
        <v>8951536087</v>
      </c>
      <c r="F226" s="60" t="s">
        <v>719</v>
      </c>
      <c r="G226" s="60" t="s">
        <v>256</v>
      </c>
      <c r="H226" s="60" t="s">
        <v>707</v>
      </c>
      <c r="I226" s="60" t="s">
        <v>19</v>
      </c>
      <c r="J226" s="60">
        <v>760000</v>
      </c>
      <c r="K226" s="60"/>
    </row>
    <row r="227" spans="1:11" ht="30" customHeight="1" x14ac:dyDescent="0.25">
      <c r="A227" s="60">
        <v>226</v>
      </c>
      <c r="B227" s="60">
        <v>220905137</v>
      </c>
      <c r="C227" s="60" t="s">
        <v>720</v>
      </c>
      <c r="D227" s="60">
        <v>6.05</v>
      </c>
      <c r="E227" s="60">
        <v>9319635256</v>
      </c>
      <c r="F227" s="60" t="s">
        <v>721</v>
      </c>
      <c r="G227" s="60" t="s">
        <v>256</v>
      </c>
      <c r="H227" s="60" t="s">
        <v>707</v>
      </c>
      <c r="I227" s="60" t="s">
        <v>19</v>
      </c>
      <c r="J227" s="60">
        <v>760000</v>
      </c>
      <c r="K227" s="60"/>
    </row>
    <row r="228" spans="1:11" ht="30" customHeight="1" x14ac:dyDescent="0.25">
      <c r="A228" s="60">
        <v>227</v>
      </c>
      <c r="B228" s="60">
        <v>220962368</v>
      </c>
      <c r="C228" s="60" t="s">
        <v>722</v>
      </c>
      <c r="D228" s="60">
        <v>8.36</v>
      </c>
      <c r="E228" s="60">
        <v>9454747958</v>
      </c>
      <c r="F228" s="60" t="s">
        <v>723</v>
      </c>
      <c r="G228" s="60" t="s">
        <v>253</v>
      </c>
      <c r="H228" s="60" t="s">
        <v>707</v>
      </c>
      <c r="I228" s="60" t="s">
        <v>19</v>
      </c>
      <c r="J228" s="60">
        <v>760000</v>
      </c>
      <c r="K228" s="60"/>
    </row>
    <row r="229" spans="1:11" ht="30" customHeight="1" x14ac:dyDescent="0.25">
      <c r="A229" s="60">
        <v>228</v>
      </c>
      <c r="B229" s="60">
        <v>220962226</v>
      </c>
      <c r="C229" s="60" t="s">
        <v>724</v>
      </c>
      <c r="D229" s="60">
        <v>6.45</v>
      </c>
      <c r="E229" s="60">
        <v>9619558148</v>
      </c>
      <c r="F229" s="60" t="s">
        <v>725</v>
      </c>
      <c r="G229" s="60" t="s">
        <v>253</v>
      </c>
      <c r="H229" s="60" t="s">
        <v>707</v>
      </c>
      <c r="I229" s="60" t="s">
        <v>19</v>
      </c>
      <c r="J229" s="60">
        <v>760000</v>
      </c>
      <c r="K229" s="60"/>
    </row>
    <row r="230" spans="1:11" ht="30" customHeight="1" x14ac:dyDescent="0.25">
      <c r="A230" s="60">
        <v>229</v>
      </c>
      <c r="B230" s="60">
        <v>220968062</v>
      </c>
      <c r="C230" s="60" t="s">
        <v>726</v>
      </c>
      <c r="D230" s="60">
        <v>7.34</v>
      </c>
      <c r="E230" s="60">
        <v>8356988579</v>
      </c>
      <c r="F230" s="60" t="s">
        <v>727</v>
      </c>
      <c r="G230" s="60" t="s">
        <v>384</v>
      </c>
      <c r="H230" s="60" t="s">
        <v>707</v>
      </c>
      <c r="I230" s="60" t="s">
        <v>19</v>
      </c>
      <c r="J230" s="60">
        <v>760000</v>
      </c>
      <c r="K230" s="60"/>
    </row>
    <row r="231" spans="1:11" ht="30" customHeight="1" x14ac:dyDescent="0.25">
      <c r="A231" s="60">
        <v>230</v>
      </c>
      <c r="B231" s="60">
        <v>220907572</v>
      </c>
      <c r="C231" s="60" t="s">
        <v>728</v>
      </c>
      <c r="D231" s="60">
        <v>7.47</v>
      </c>
      <c r="E231" s="60">
        <v>8850708893</v>
      </c>
      <c r="F231" s="60" t="s">
        <v>729</v>
      </c>
      <c r="G231" s="60" t="s">
        <v>277</v>
      </c>
      <c r="H231" s="60" t="s">
        <v>707</v>
      </c>
      <c r="I231" s="60" t="s">
        <v>19</v>
      </c>
      <c r="J231" s="60">
        <v>760000</v>
      </c>
      <c r="K231" s="60"/>
    </row>
    <row r="232" spans="1:11" ht="30" customHeight="1" x14ac:dyDescent="0.25">
      <c r="A232" s="60">
        <v>231</v>
      </c>
      <c r="B232" s="60">
        <v>220932094</v>
      </c>
      <c r="C232" s="60" t="s">
        <v>730</v>
      </c>
      <c r="D232" s="60">
        <v>7.3</v>
      </c>
      <c r="E232" s="60">
        <v>9874859823</v>
      </c>
      <c r="F232" s="60" t="s">
        <v>731</v>
      </c>
      <c r="G232" s="60" t="s">
        <v>289</v>
      </c>
      <c r="H232" s="60" t="s">
        <v>707</v>
      </c>
      <c r="I232" s="60" t="s">
        <v>19</v>
      </c>
      <c r="J232" s="60">
        <v>760000</v>
      </c>
      <c r="K232" s="60"/>
    </row>
    <row r="233" spans="1:11" ht="30" customHeight="1" x14ac:dyDescent="0.25">
      <c r="A233" s="60">
        <v>232</v>
      </c>
      <c r="B233" s="60">
        <v>220911580</v>
      </c>
      <c r="C233" s="60" t="s">
        <v>732</v>
      </c>
      <c r="D233" s="60">
        <v>7.36</v>
      </c>
      <c r="E233" s="60">
        <v>8595540661</v>
      </c>
      <c r="F233" s="60" t="s">
        <v>733</v>
      </c>
      <c r="G233" s="60" t="s">
        <v>274</v>
      </c>
      <c r="H233" s="60" t="s">
        <v>707</v>
      </c>
      <c r="I233" s="60" t="s">
        <v>19</v>
      </c>
      <c r="J233" s="60">
        <v>760000</v>
      </c>
      <c r="K233" s="60"/>
    </row>
    <row r="234" spans="1:11" ht="30" customHeight="1" x14ac:dyDescent="0.25">
      <c r="A234" s="60">
        <v>233</v>
      </c>
      <c r="B234" s="60">
        <v>220911570</v>
      </c>
      <c r="C234" s="60" t="s">
        <v>734</v>
      </c>
      <c r="D234" s="60">
        <v>6.48</v>
      </c>
      <c r="E234" s="60">
        <v>7011776326</v>
      </c>
      <c r="F234" s="60" t="s">
        <v>735</v>
      </c>
      <c r="G234" s="60" t="s">
        <v>274</v>
      </c>
      <c r="H234" s="60" t="s">
        <v>707</v>
      </c>
      <c r="I234" s="60" t="s">
        <v>19</v>
      </c>
      <c r="J234" s="60">
        <v>760000</v>
      </c>
      <c r="K234" s="60"/>
    </row>
    <row r="235" spans="1:11" ht="30" customHeight="1" x14ac:dyDescent="0.25">
      <c r="A235" s="60">
        <v>234</v>
      </c>
      <c r="B235" s="60">
        <v>220929260</v>
      </c>
      <c r="C235" s="60" t="s">
        <v>736</v>
      </c>
      <c r="D235" s="60">
        <v>8.01</v>
      </c>
      <c r="E235" s="60">
        <v>9437080062</v>
      </c>
      <c r="F235" s="60" t="s">
        <v>737</v>
      </c>
      <c r="G235" s="60" t="s">
        <v>317</v>
      </c>
      <c r="H235" s="60" t="s">
        <v>707</v>
      </c>
      <c r="I235" s="60" t="s">
        <v>19</v>
      </c>
      <c r="J235" s="60">
        <v>760000</v>
      </c>
      <c r="K235" s="60"/>
    </row>
    <row r="236" spans="1:11" ht="30" customHeight="1" x14ac:dyDescent="0.25">
      <c r="A236" s="60">
        <v>235</v>
      </c>
      <c r="B236" s="60">
        <v>220929086</v>
      </c>
      <c r="C236" s="60" t="s">
        <v>738</v>
      </c>
      <c r="D236" s="60">
        <v>6.87</v>
      </c>
      <c r="E236" s="60">
        <v>8277447419</v>
      </c>
      <c r="F236" s="60" t="s">
        <v>739</v>
      </c>
      <c r="G236" s="60" t="s">
        <v>317</v>
      </c>
      <c r="H236" s="60" t="s">
        <v>707</v>
      </c>
      <c r="I236" s="60" t="s">
        <v>19</v>
      </c>
      <c r="J236" s="60">
        <v>760000</v>
      </c>
      <c r="K236" s="60"/>
    </row>
    <row r="237" spans="1:11" ht="30" customHeight="1" x14ac:dyDescent="0.25">
      <c r="A237" s="60">
        <v>236</v>
      </c>
      <c r="B237" s="60">
        <v>220929016</v>
      </c>
      <c r="C237" s="60" t="s">
        <v>740</v>
      </c>
      <c r="D237" s="60">
        <v>6.16</v>
      </c>
      <c r="E237" s="60">
        <v>7330957495</v>
      </c>
      <c r="F237" s="60" t="s">
        <v>741</v>
      </c>
      <c r="G237" s="60" t="s">
        <v>317</v>
      </c>
      <c r="H237" s="60" t="s">
        <v>707</v>
      </c>
      <c r="I237" s="60" t="s">
        <v>19</v>
      </c>
      <c r="J237" s="60">
        <v>760000</v>
      </c>
      <c r="K237" s="60"/>
    </row>
    <row r="238" spans="1:11" ht="30" customHeight="1" x14ac:dyDescent="0.25">
      <c r="A238" s="60">
        <v>237</v>
      </c>
      <c r="B238" s="159">
        <v>220907600</v>
      </c>
      <c r="C238" s="159" t="s">
        <v>425</v>
      </c>
      <c r="D238" s="160">
        <v>7.98</v>
      </c>
      <c r="E238" s="159">
        <v>7013493752</v>
      </c>
      <c r="F238" s="159" t="s">
        <v>426</v>
      </c>
      <c r="G238" s="159" t="s">
        <v>277</v>
      </c>
      <c r="H238" s="60" t="s">
        <v>742</v>
      </c>
      <c r="I238" s="60" t="s">
        <v>19</v>
      </c>
      <c r="J238" s="60">
        <v>760000</v>
      </c>
      <c r="K238" s="60"/>
    </row>
    <row r="239" spans="1:11" ht="30" customHeight="1" x14ac:dyDescent="0.25">
      <c r="A239" s="60">
        <v>238</v>
      </c>
      <c r="B239" s="159">
        <v>220907846</v>
      </c>
      <c r="C239" s="159" t="s">
        <v>743</v>
      </c>
      <c r="D239" s="160">
        <v>7.64</v>
      </c>
      <c r="E239" s="159">
        <v>7259843391</v>
      </c>
      <c r="F239" s="159" t="s">
        <v>744</v>
      </c>
      <c r="G239" s="159" t="s">
        <v>277</v>
      </c>
      <c r="H239" s="60" t="s">
        <v>742</v>
      </c>
      <c r="I239" s="60" t="s">
        <v>19</v>
      </c>
      <c r="J239" s="60">
        <v>760000</v>
      </c>
      <c r="K239" s="60"/>
    </row>
    <row r="240" spans="1:11" ht="30" customHeight="1" x14ac:dyDescent="0.25">
      <c r="A240" s="60">
        <v>239</v>
      </c>
      <c r="B240" s="159">
        <v>220907580</v>
      </c>
      <c r="C240" s="159" t="s">
        <v>745</v>
      </c>
      <c r="D240" s="160">
        <v>7.54</v>
      </c>
      <c r="E240" s="159">
        <v>7666085546</v>
      </c>
      <c r="F240" s="159" t="s">
        <v>746</v>
      </c>
      <c r="G240" s="159" t="s">
        <v>277</v>
      </c>
      <c r="H240" s="60" t="s">
        <v>742</v>
      </c>
      <c r="I240" s="60" t="s">
        <v>19</v>
      </c>
      <c r="J240" s="60">
        <v>760000</v>
      </c>
      <c r="K240" s="60"/>
    </row>
    <row r="241" spans="1:11" ht="30" customHeight="1" x14ac:dyDescent="0.25">
      <c r="A241" s="60">
        <v>240</v>
      </c>
      <c r="B241" s="159">
        <v>220911294</v>
      </c>
      <c r="C241" s="159" t="s">
        <v>747</v>
      </c>
      <c r="D241" s="160">
        <v>8.7100000000000009</v>
      </c>
      <c r="E241" s="159">
        <v>8591723084</v>
      </c>
      <c r="F241" s="159" t="s">
        <v>748</v>
      </c>
      <c r="G241" s="159" t="s">
        <v>274</v>
      </c>
      <c r="H241" s="60" t="s">
        <v>742</v>
      </c>
      <c r="I241" s="60" t="s">
        <v>19</v>
      </c>
      <c r="J241" s="60">
        <v>760000</v>
      </c>
      <c r="K241" s="60"/>
    </row>
    <row r="242" spans="1:11" ht="30" customHeight="1" x14ac:dyDescent="0.25">
      <c r="A242" s="60">
        <v>241</v>
      </c>
      <c r="B242" s="159">
        <v>220911574</v>
      </c>
      <c r="C242" s="159" t="s">
        <v>749</v>
      </c>
      <c r="D242" s="160">
        <v>8.0399999999999991</v>
      </c>
      <c r="E242" s="159">
        <v>7982148858</v>
      </c>
      <c r="F242" s="159" t="s">
        <v>750</v>
      </c>
      <c r="G242" s="159" t="s">
        <v>274</v>
      </c>
      <c r="H242" s="60" t="s">
        <v>742</v>
      </c>
      <c r="I242" s="60" t="s">
        <v>19</v>
      </c>
      <c r="J242" s="60">
        <v>760000</v>
      </c>
      <c r="K242" s="60"/>
    </row>
    <row r="243" spans="1:11" ht="30" customHeight="1" x14ac:dyDescent="0.25">
      <c r="A243" s="60">
        <v>242</v>
      </c>
      <c r="B243" s="159">
        <v>220911662</v>
      </c>
      <c r="C243" s="159" t="s">
        <v>751</v>
      </c>
      <c r="D243" s="160">
        <v>7.98</v>
      </c>
      <c r="E243" s="159">
        <v>9059449360</v>
      </c>
      <c r="F243" s="159" t="s">
        <v>752</v>
      </c>
      <c r="G243" s="159" t="s">
        <v>274</v>
      </c>
      <c r="H243" s="60" t="s">
        <v>742</v>
      </c>
      <c r="I243" s="60" t="s">
        <v>19</v>
      </c>
      <c r="J243" s="60">
        <v>760000</v>
      </c>
      <c r="K243" s="60"/>
    </row>
    <row r="244" spans="1:11" ht="30" customHeight="1" x14ac:dyDescent="0.25">
      <c r="A244" s="60">
        <v>243</v>
      </c>
      <c r="B244" s="159">
        <v>220911500</v>
      </c>
      <c r="C244" s="159" t="s">
        <v>753</v>
      </c>
      <c r="D244" s="160">
        <v>7.85</v>
      </c>
      <c r="E244" s="159">
        <v>8860671430</v>
      </c>
      <c r="F244" s="159" t="s">
        <v>754</v>
      </c>
      <c r="G244" s="159" t="s">
        <v>274</v>
      </c>
      <c r="H244" s="60" t="s">
        <v>742</v>
      </c>
      <c r="I244" s="60" t="s">
        <v>19</v>
      </c>
      <c r="J244" s="60">
        <v>760000</v>
      </c>
      <c r="K244" s="60"/>
    </row>
    <row r="245" spans="1:11" ht="30" customHeight="1" x14ac:dyDescent="0.25">
      <c r="A245" s="60">
        <v>244</v>
      </c>
      <c r="B245" s="159">
        <v>220911051</v>
      </c>
      <c r="C245" s="159" t="s">
        <v>755</v>
      </c>
      <c r="D245" s="160">
        <v>7.83</v>
      </c>
      <c r="E245" s="159">
        <v>9032513736</v>
      </c>
      <c r="F245" s="159" t="s">
        <v>756</v>
      </c>
      <c r="G245" s="159" t="s">
        <v>274</v>
      </c>
      <c r="H245" s="60" t="s">
        <v>742</v>
      </c>
      <c r="I245" s="60" t="s">
        <v>19</v>
      </c>
      <c r="J245" s="60">
        <v>760000</v>
      </c>
      <c r="K245" s="60"/>
    </row>
    <row r="246" spans="1:11" ht="30" customHeight="1" x14ac:dyDescent="0.25">
      <c r="A246" s="60">
        <v>245</v>
      </c>
      <c r="B246" s="159">
        <v>220911498</v>
      </c>
      <c r="C246" s="159" t="s">
        <v>521</v>
      </c>
      <c r="D246" s="160">
        <v>7.55</v>
      </c>
      <c r="E246" s="159">
        <v>9509086177</v>
      </c>
      <c r="F246" s="159" t="s">
        <v>522</v>
      </c>
      <c r="G246" s="159" t="s">
        <v>274</v>
      </c>
      <c r="H246" s="60" t="s">
        <v>742</v>
      </c>
      <c r="I246" s="60" t="s">
        <v>19</v>
      </c>
      <c r="J246" s="60">
        <v>760000</v>
      </c>
      <c r="K246" s="60"/>
    </row>
    <row r="247" spans="1:11" ht="30" customHeight="1" x14ac:dyDescent="0.25">
      <c r="A247" s="60">
        <v>246</v>
      </c>
      <c r="B247" s="159">
        <v>220911646</v>
      </c>
      <c r="C247" s="159" t="s">
        <v>757</v>
      </c>
      <c r="D247" s="160">
        <v>7.26</v>
      </c>
      <c r="E247" s="159">
        <v>8448310150</v>
      </c>
      <c r="F247" s="159" t="s">
        <v>758</v>
      </c>
      <c r="G247" s="159" t="s">
        <v>274</v>
      </c>
      <c r="H247" s="60" t="s">
        <v>742</v>
      </c>
      <c r="I247" s="60" t="s">
        <v>19</v>
      </c>
      <c r="J247" s="60">
        <v>760000</v>
      </c>
      <c r="K247" s="60"/>
    </row>
    <row r="248" spans="1:11" ht="30" customHeight="1" x14ac:dyDescent="0.25">
      <c r="A248" s="60">
        <v>247</v>
      </c>
      <c r="B248" s="159">
        <v>220911618</v>
      </c>
      <c r="C248" s="159" t="s">
        <v>759</v>
      </c>
      <c r="D248" s="160">
        <v>7.12</v>
      </c>
      <c r="E248" s="159">
        <v>9956390119</v>
      </c>
      <c r="F248" s="159" t="s">
        <v>760</v>
      </c>
      <c r="G248" s="159" t="s">
        <v>274</v>
      </c>
      <c r="H248" s="60" t="s">
        <v>742</v>
      </c>
      <c r="I248" s="60" t="s">
        <v>19</v>
      </c>
      <c r="J248" s="60">
        <v>760000</v>
      </c>
      <c r="K248" s="60"/>
    </row>
    <row r="249" spans="1:11" ht="30" customHeight="1" x14ac:dyDescent="0.25">
      <c r="A249" s="60">
        <v>248</v>
      </c>
      <c r="B249" s="159">
        <v>220929190</v>
      </c>
      <c r="C249" s="159" t="s">
        <v>761</v>
      </c>
      <c r="D249" s="160">
        <v>6.84</v>
      </c>
      <c r="E249" s="159">
        <v>9845917187</v>
      </c>
      <c r="F249" s="159" t="s">
        <v>762</v>
      </c>
      <c r="G249" s="159" t="s">
        <v>317</v>
      </c>
      <c r="H249" s="60" t="s">
        <v>742</v>
      </c>
      <c r="I249" s="60" t="s">
        <v>19</v>
      </c>
      <c r="J249" s="60">
        <v>760000</v>
      </c>
      <c r="K249" s="60"/>
    </row>
    <row r="250" spans="1:11" ht="30" customHeight="1" x14ac:dyDescent="0.25">
      <c r="A250" s="60">
        <v>249</v>
      </c>
      <c r="B250" s="159">
        <v>220961182</v>
      </c>
      <c r="C250" s="159" t="s">
        <v>763</v>
      </c>
      <c r="D250" s="160">
        <v>7.69</v>
      </c>
      <c r="E250" s="159">
        <v>8618220657</v>
      </c>
      <c r="F250" s="159" t="s">
        <v>764</v>
      </c>
      <c r="G250" s="159" t="s">
        <v>541</v>
      </c>
      <c r="H250" s="60" t="s">
        <v>742</v>
      </c>
      <c r="I250" s="60" t="s">
        <v>19</v>
      </c>
      <c r="J250" s="60">
        <v>760000</v>
      </c>
      <c r="K250" s="60"/>
    </row>
    <row r="251" spans="1:11" ht="30" customHeight="1" x14ac:dyDescent="0.25">
      <c r="A251" s="60">
        <v>250</v>
      </c>
      <c r="B251" s="159">
        <v>220962300</v>
      </c>
      <c r="C251" s="159" t="s">
        <v>535</v>
      </c>
      <c r="D251" s="160">
        <v>8.42</v>
      </c>
      <c r="E251" s="159">
        <v>9470348250</v>
      </c>
      <c r="F251" s="159" t="s">
        <v>536</v>
      </c>
      <c r="G251" s="60" t="s">
        <v>253</v>
      </c>
      <c r="H251" s="60" t="s">
        <v>742</v>
      </c>
      <c r="I251" s="60" t="s">
        <v>19</v>
      </c>
      <c r="J251" s="60">
        <v>760000</v>
      </c>
      <c r="K251" s="60"/>
    </row>
    <row r="252" spans="1:11" ht="30" customHeight="1" x14ac:dyDescent="0.25">
      <c r="A252" s="60">
        <v>251</v>
      </c>
      <c r="B252" s="159">
        <v>220962250</v>
      </c>
      <c r="C252" s="159" t="s">
        <v>765</v>
      </c>
      <c r="D252" s="160">
        <v>8.2799999999999994</v>
      </c>
      <c r="E252" s="159">
        <v>9868176557</v>
      </c>
      <c r="F252" s="159" t="s">
        <v>766</v>
      </c>
      <c r="G252" s="60" t="s">
        <v>253</v>
      </c>
      <c r="H252" s="60" t="s">
        <v>742</v>
      </c>
      <c r="I252" s="60" t="s">
        <v>19</v>
      </c>
      <c r="J252" s="60">
        <v>760000</v>
      </c>
      <c r="K252" s="60"/>
    </row>
    <row r="253" spans="1:11" ht="30" customHeight="1" x14ac:dyDescent="0.25">
      <c r="A253" s="60">
        <v>252</v>
      </c>
      <c r="B253" s="60">
        <v>220953624</v>
      </c>
      <c r="C253" s="60" t="s">
        <v>767</v>
      </c>
      <c r="D253" s="60">
        <v>6.9</v>
      </c>
      <c r="E253" s="60">
        <v>9032169310</v>
      </c>
      <c r="F253" s="60" t="s">
        <v>768</v>
      </c>
      <c r="G253" s="60" t="s">
        <v>261</v>
      </c>
      <c r="H253" s="60" t="s">
        <v>769</v>
      </c>
      <c r="I253" s="60" t="s">
        <v>19</v>
      </c>
      <c r="J253" s="60">
        <v>760000</v>
      </c>
      <c r="K253" s="60"/>
    </row>
    <row r="254" spans="1:11" ht="30" customHeight="1" x14ac:dyDescent="0.25">
      <c r="A254" s="60">
        <v>253</v>
      </c>
      <c r="B254" s="60">
        <v>220932092</v>
      </c>
      <c r="C254" s="60" t="s">
        <v>770</v>
      </c>
      <c r="D254" s="60">
        <v>7.5</v>
      </c>
      <c r="E254" s="60">
        <v>8356050069</v>
      </c>
      <c r="F254" s="60" t="s">
        <v>771</v>
      </c>
      <c r="G254" s="60" t="s">
        <v>289</v>
      </c>
      <c r="H254" s="60" t="s">
        <v>769</v>
      </c>
      <c r="I254" s="60" t="s">
        <v>19</v>
      </c>
      <c r="J254" s="60">
        <v>760000</v>
      </c>
      <c r="K254" s="60"/>
    </row>
    <row r="255" spans="1:11" ht="30" customHeight="1" x14ac:dyDescent="0.25">
      <c r="A255" s="60">
        <v>254</v>
      </c>
      <c r="B255" s="60">
        <v>220932260</v>
      </c>
      <c r="C255" s="60" t="s">
        <v>772</v>
      </c>
      <c r="D255" s="60">
        <v>6.97</v>
      </c>
      <c r="E255" s="60">
        <v>9310043631</v>
      </c>
      <c r="F255" s="60" t="s">
        <v>773</v>
      </c>
      <c r="G255" s="60" t="s">
        <v>289</v>
      </c>
      <c r="H255" s="60" t="s">
        <v>769</v>
      </c>
      <c r="I255" s="60" t="s">
        <v>19</v>
      </c>
      <c r="J255" s="60">
        <v>760000</v>
      </c>
      <c r="K255" s="60"/>
    </row>
    <row r="256" spans="1:11" ht="30" customHeight="1" x14ac:dyDescent="0.25">
      <c r="A256" s="60">
        <v>255</v>
      </c>
      <c r="B256" s="60">
        <v>220953160</v>
      </c>
      <c r="C256" s="60" t="s">
        <v>774</v>
      </c>
      <c r="D256" s="60">
        <v>7.17</v>
      </c>
      <c r="E256" s="60">
        <v>9650656406</v>
      </c>
      <c r="F256" s="60" t="s">
        <v>775</v>
      </c>
      <c r="G256" s="60" t="s">
        <v>261</v>
      </c>
      <c r="H256" s="159" t="s">
        <v>776</v>
      </c>
      <c r="I256" s="60" t="s">
        <v>20</v>
      </c>
      <c r="J256" s="60">
        <v>760000</v>
      </c>
      <c r="K256" s="60"/>
    </row>
    <row r="257" spans="1:11" ht="30" customHeight="1" x14ac:dyDescent="0.25">
      <c r="A257" s="60">
        <v>256</v>
      </c>
      <c r="B257" s="60">
        <v>220953514</v>
      </c>
      <c r="C257" s="60" t="s">
        <v>777</v>
      </c>
      <c r="D257" s="60">
        <v>6.29</v>
      </c>
      <c r="E257" s="60">
        <v>6379791410</v>
      </c>
      <c r="F257" s="60" t="s">
        <v>778</v>
      </c>
      <c r="G257" s="60" t="s">
        <v>261</v>
      </c>
      <c r="H257" s="159" t="s">
        <v>776</v>
      </c>
      <c r="I257" s="60" t="s">
        <v>20</v>
      </c>
      <c r="J257" s="60">
        <v>760000</v>
      </c>
      <c r="K257" s="60"/>
    </row>
    <row r="258" spans="1:11" ht="30" customHeight="1" x14ac:dyDescent="0.25">
      <c r="A258" s="60">
        <v>257</v>
      </c>
      <c r="B258" s="60">
        <v>220905533</v>
      </c>
      <c r="C258" s="60" t="s">
        <v>779</v>
      </c>
      <c r="D258" s="60">
        <v>6.8</v>
      </c>
      <c r="E258" s="60">
        <v>9408950206</v>
      </c>
      <c r="F258" s="60" t="s">
        <v>780</v>
      </c>
      <c r="G258" s="60" t="s">
        <v>256</v>
      </c>
      <c r="H258" s="159" t="s">
        <v>776</v>
      </c>
      <c r="I258" s="60" t="s">
        <v>20</v>
      </c>
      <c r="J258" s="60">
        <v>760000</v>
      </c>
      <c r="K258" s="60"/>
    </row>
    <row r="259" spans="1:11" ht="30" customHeight="1" x14ac:dyDescent="0.25">
      <c r="A259" s="60">
        <v>258</v>
      </c>
      <c r="B259" s="60">
        <v>220905540</v>
      </c>
      <c r="C259" s="60" t="s">
        <v>781</v>
      </c>
      <c r="D259" s="60">
        <v>6.27</v>
      </c>
      <c r="E259" s="60">
        <v>7619672223</v>
      </c>
      <c r="F259" s="60" t="s">
        <v>782</v>
      </c>
      <c r="G259" s="60" t="s">
        <v>256</v>
      </c>
      <c r="H259" s="159" t="s">
        <v>776</v>
      </c>
      <c r="I259" s="60" t="s">
        <v>20</v>
      </c>
      <c r="J259" s="60">
        <v>760000</v>
      </c>
      <c r="K259" s="60"/>
    </row>
    <row r="260" spans="1:11" ht="30" customHeight="1" x14ac:dyDescent="0.25">
      <c r="A260" s="60">
        <v>259</v>
      </c>
      <c r="B260" s="60">
        <v>220961054</v>
      </c>
      <c r="C260" s="60" t="s">
        <v>783</v>
      </c>
      <c r="D260" s="60">
        <v>7.76</v>
      </c>
      <c r="E260" s="60">
        <v>7975543186</v>
      </c>
      <c r="F260" s="60" t="s">
        <v>784</v>
      </c>
      <c r="G260" s="60" t="s">
        <v>541</v>
      </c>
      <c r="H260" s="159" t="s">
        <v>776</v>
      </c>
      <c r="I260" s="60" t="s">
        <v>20</v>
      </c>
      <c r="J260" s="60">
        <v>760000</v>
      </c>
      <c r="K260" s="60"/>
    </row>
    <row r="261" spans="1:11" ht="30" customHeight="1" x14ac:dyDescent="0.25">
      <c r="A261" s="60">
        <v>260</v>
      </c>
      <c r="B261" s="60">
        <v>220906388</v>
      </c>
      <c r="C261" s="60" t="s">
        <v>785</v>
      </c>
      <c r="D261" s="60">
        <v>6.79</v>
      </c>
      <c r="E261" s="60">
        <v>7898852135</v>
      </c>
      <c r="F261" s="60" t="s">
        <v>786</v>
      </c>
      <c r="G261" s="60" t="s">
        <v>478</v>
      </c>
      <c r="H261" s="159" t="s">
        <v>776</v>
      </c>
      <c r="I261" s="60" t="s">
        <v>20</v>
      </c>
      <c r="J261" s="60">
        <v>760000</v>
      </c>
      <c r="K261" s="60"/>
    </row>
    <row r="262" spans="1:11" ht="30" customHeight="1" x14ac:dyDescent="0.25">
      <c r="A262" s="60">
        <v>261</v>
      </c>
      <c r="B262" s="60">
        <v>220906640</v>
      </c>
      <c r="C262" s="60" t="s">
        <v>787</v>
      </c>
      <c r="D262" s="60">
        <v>6.59</v>
      </c>
      <c r="E262" s="60">
        <v>6200705672</v>
      </c>
      <c r="F262" s="60" t="s">
        <v>788</v>
      </c>
      <c r="G262" s="60" t="s">
        <v>478</v>
      </c>
      <c r="H262" s="159" t="s">
        <v>776</v>
      </c>
      <c r="I262" s="60" t="s">
        <v>20</v>
      </c>
      <c r="J262" s="60">
        <v>760000</v>
      </c>
      <c r="K262" s="60"/>
    </row>
    <row r="263" spans="1:11" ht="30" customHeight="1" x14ac:dyDescent="0.25">
      <c r="A263" s="60">
        <v>262</v>
      </c>
      <c r="B263" s="60">
        <v>220907864</v>
      </c>
      <c r="C263" s="60" t="s">
        <v>789</v>
      </c>
      <c r="D263" s="60">
        <v>7.24</v>
      </c>
      <c r="E263" s="60">
        <v>8956697910</v>
      </c>
      <c r="F263" s="60" t="s">
        <v>790</v>
      </c>
      <c r="G263" s="60" t="s">
        <v>277</v>
      </c>
      <c r="H263" s="159" t="s">
        <v>776</v>
      </c>
      <c r="I263" s="60" t="s">
        <v>20</v>
      </c>
      <c r="J263" s="60">
        <v>760000</v>
      </c>
      <c r="K263" s="60"/>
    </row>
    <row r="264" spans="1:11" ht="30" customHeight="1" x14ac:dyDescent="0.25">
      <c r="A264" s="60">
        <v>263</v>
      </c>
      <c r="B264" s="60">
        <v>220907852</v>
      </c>
      <c r="C264" s="60" t="s">
        <v>791</v>
      </c>
      <c r="D264" s="60">
        <v>7.23</v>
      </c>
      <c r="E264" s="60">
        <v>9886978989</v>
      </c>
      <c r="F264" s="60" t="s">
        <v>792</v>
      </c>
      <c r="G264" s="60" t="s">
        <v>277</v>
      </c>
      <c r="H264" s="159" t="s">
        <v>776</v>
      </c>
      <c r="I264" s="60" t="s">
        <v>20</v>
      </c>
      <c r="J264" s="60">
        <v>760000</v>
      </c>
      <c r="K264" s="60"/>
    </row>
    <row r="265" spans="1:11" ht="30" customHeight="1" x14ac:dyDescent="0.25">
      <c r="A265" s="60">
        <v>264</v>
      </c>
      <c r="B265" s="60">
        <v>220907774</v>
      </c>
      <c r="C265" s="60" t="s">
        <v>793</v>
      </c>
      <c r="D265" s="60">
        <v>6.56</v>
      </c>
      <c r="E265" s="60">
        <v>8789855128</v>
      </c>
      <c r="F265" s="60" t="s">
        <v>794</v>
      </c>
      <c r="G265" s="60" t="s">
        <v>277</v>
      </c>
      <c r="H265" s="159" t="s">
        <v>776</v>
      </c>
      <c r="I265" s="60" t="s">
        <v>20</v>
      </c>
      <c r="J265" s="60">
        <v>760000</v>
      </c>
      <c r="K265" s="60"/>
    </row>
    <row r="266" spans="1:11" ht="30" customHeight="1" x14ac:dyDescent="0.25">
      <c r="A266" s="60">
        <v>265</v>
      </c>
      <c r="B266" s="60">
        <v>220932358</v>
      </c>
      <c r="C266" s="60" t="s">
        <v>795</v>
      </c>
      <c r="D266" s="60">
        <v>6.55</v>
      </c>
      <c r="E266" s="60">
        <v>8888991807</v>
      </c>
      <c r="F266" s="60" t="s">
        <v>796</v>
      </c>
      <c r="G266" s="60" t="s">
        <v>289</v>
      </c>
      <c r="H266" s="159" t="s">
        <v>776</v>
      </c>
      <c r="I266" s="60" t="s">
        <v>20</v>
      </c>
      <c r="J266" s="60">
        <v>760000</v>
      </c>
      <c r="K266" s="60"/>
    </row>
    <row r="267" spans="1:11" ht="30" customHeight="1" x14ac:dyDescent="0.25">
      <c r="A267" s="60">
        <v>266</v>
      </c>
      <c r="B267" s="60">
        <v>220932390</v>
      </c>
      <c r="C267" s="60" t="s">
        <v>797</v>
      </c>
      <c r="D267" s="60">
        <v>6.55</v>
      </c>
      <c r="E267" s="60">
        <v>7619432042</v>
      </c>
      <c r="F267" s="60" t="s">
        <v>798</v>
      </c>
      <c r="G267" s="60" t="s">
        <v>289</v>
      </c>
      <c r="H267" s="159" t="s">
        <v>776</v>
      </c>
      <c r="I267" s="60" t="s">
        <v>20</v>
      </c>
      <c r="J267" s="60">
        <v>760000</v>
      </c>
      <c r="K267" s="60"/>
    </row>
    <row r="268" spans="1:11" ht="30" customHeight="1" x14ac:dyDescent="0.25">
      <c r="A268" s="60">
        <v>267</v>
      </c>
      <c r="B268" s="60">
        <v>220932238</v>
      </c>
      <c r="C268" s="60" t="s">
        <v>799</v>
      </c>
      <c r="D268" s="60">
        <v>6.52</v>
      </c>
      <c r="E268" s="60">
        <v>9435458823</v>
      </c>
      <c r="F268" s="60" t="s">
        <v>800</v>
      </c>
      <c r="G268" s="60" t="s">
        <v>289</v>
      </c>
      <c r="H268" s="159" t="s">
        <v>776</v>
      </c>
      <c r="I268" s="60" t="s">
        <v>20</v>
      </c>
      <c r="J268" s="60">
        <v>760000</v>
      </c>
      <c r="K268" s="60"/>
    </row>
    <row r="269" spans="1:11" ht="30" customHeight="1" x14ac:dyDescent="0.25">
      <c r="A269" s="60">
        <v>268</v>
      </c>
      <c r="B269" s="60">
        <v>220931028</v>
      </c>
      <c r="C269" s="60" t="s">
        <v>801</v>
      </c>
      <c r="D269" s="60">
        <v>9.42</v>
      </c>
      <c r="E269" s="60">
        <v>8493095314</v>
      </c>
      <c r="F269" s="60" t="s">
        <v>802</v>
      </c>
      <c r="G269" s="60" t="s">
        <v>803</v>
      </c>
      <c r="H269" s="159" t="s">
        <v>776</v>
      </c>
      <c r="I269" s="60" t="s">
        <v>20</v>
      </c>
      <c r="J269" s="60">
        <v>760000</v>
      </c>
      <c r="K269" s="60"/>
    </row>
    <row r="270" spans="1:11" ht="30" customHeight="1" x14ac:dyDescent="0.25">
      <c r="A270" s="60">
        <v>269</v>
      </c>
      <c r="B270" s="60">
        <v>220911464</v>
      </c>
      <c r="C270" s="60" t="s">
        <v>804</v>
      </c>
      <c r="D270" s="60">
        <v>6.17</v>
      </c>
      <c r="E270" s="60">
        <v>9899074000</v>
      </c>
      <c r="F270" s="60" t="s">
        <v>805</v>
      </c>
      <c r="G270" s="60" t="s">
        <v>274</v>
      </c>
      <c r="H270" s="159" t="s">
        <v>776</v>
      </c>
      <c r="I270" s="60" t="s">
        <v>20</v>
      </c>
      <c r="J270" s="60">
        <v>760000</v>
      </c>
      <c r="K270" s="60"/>
    </row>
    <row r="271" spans="1:11" ht="30" customHeight="1" x14ac:dyDescent="0.25">
      <c r="A271" s="60">
        <v>270</v>
      </c>
      <c r="B271" s="60">
        <v>220909334</v>
      </c>
      <c r="C271" s="60" t="s">
        <v>806</v>
      </c>
      <c r="D271" s="60">
        <v>6.06</v>
      </c>
      <c r="E271" s="60">
        <v>9945942784</v>
      </c>
      <c r="F271" s="60" t="s">
        <v>807</v>
      </c>
      <c r="G271" s="60" t="s">
        <v>312</v>
      </c>
      <c r="H271" s="159" t="s">
        <v>776</v>
      </c>
      <c r="I271" s="60" t="s">
        <v>20</v>
      </c>
      <c r="J271" s="60">
        <v>760000</v>
      </c>
      <c r="K271" s="60"/>
    </row>
    <row r="272" spans="1:11" ht="30" customHeight="1" x14ac:dyDescent="0.25">
      <c r="A272" s="60">
        <v>271</v>
      </c>
      <c r="B272" s="60">
        <v>220907702</v>
      </c>
      <c r="C272" s="60" t="s">
        <v>808</v>
      </c>
      <c r="D272" s="60">
        <v>7.38</v>
      </c>
      <c r="E272" s="60">
        <v>9886626088</v>
      </c>
      <c r="F272" s="60" t="s">
        <v>809</v>
      </c>
      <c r="G272" s="60" t="s">
        <v>277</v>
      </c>
      <c r="H272" s="159" t="s">
        <v>810</v>
      </c>
      <c r="I272" s="60" t="s">
        <v>20</v>
      </c>
      <c r="J272" s="60">
        <v>760000</v>
      </c>
      <c r="K272" s="60"/>
    </row>
    <row r="273" spans="1:11" ht="30" customHeight="1" x14ac:dyDescent="0.25">
      <c r="A273" s="60">
        <v>272</v>
      </c>
      <c r="B273" s="60">
        <v>220907398</v>
      </c>
      <c r="C273" s="60" t="s">
        <v>811</v>
      </c>
      <c r="D273" s="60">
        <v>6.4</v>
      </c>
      <c r="E273" s="60">
        <v>8076357123</v>
      </c>
      <c r="F273" s="60" t="s">
        <v>812</v>
      </c>
      <c r="G273" s="60" t="s">
        <v>277</v>
      </c>
      <c r="H273" s="159" t="s">
        <v>810</v>
      </c>
      <c r="I273" s="60" t="s">
        <v>20</v>
      </c>
      <c r="J273" s="60">
        <v>760000</v>
      </c>
      <c r="K273" s="60"/>
    </row>
    <row r="274" spans="1:11" ht="30" customHeight="1" x14ac:dyDescent="0.25">
      <c r="A274" s="60">
        <v>273</v>
      </c>
      <c r="B274" s="60">
        <v>220911328</v>
      </c>
      <c r="C274" s="60" t="s">
        <v>813</v>
      </c>
      <c r="D274" s="60">
        <v>6.67</v>
      </c>
      <c r="E274" s="60">
        <v>9557540875</v>
      </c>
      <c r="F274" s="60" t="s">
        <v>814</v>
      </c>
      <c r="G274" s="60" t="s">
        <v>274</v>
      </c>
      <c r="H274" s="159" t="s">
        <v>810</v>
      </c>
      <c r="I274" s="60" t="s">
        <v>20</v>
      </c>
      <c r="J274" s="60">
        <v>760000</v>
      </c>
      <c r="K274" s="60"/>
    </row>
    <row r="275" spans="1:11" ht="30" customHeight="1" x14ac:dyDescent="0.25">
      <c r="A275" s="60">
        <v>274</v>
      </c>
      <c r="B275" s="60">
        <v>220911340</v>
      </c>
      <c r="C275" s="60" t="s">
        <v>815</v>
      </c>
      <c r="D275" s="60">
        <v>6.21</v>
      </c>
      <c r="E275" s="60">
        <v>9945235384</v>
      </c>
      <c r="F275" s="60" t="s">
        <v>816</v>
      </c>
      <c r="G275" s="60" t="s">
        <v>274</v>
      </c>
      <c r="H275" s="159" t="s">
        <v>810</v>
      </c>
      <c r="I275" s="60" t="s">
        <v>20</v>
      </c>
      <c r="J275" s="60">
        <v>760000</v>
      </c>
      <c r="K275" s="60"/>
    </row>
    <row r="276" spans="1:11" ht="30" customHeight="1" x14ac:dyDescent="0.25">
      <c r="A276" s="60">
        <v>275</v>
      </c>
      <c r="B276" s="60">
        <v>220929170</v>
      </c>
      <c r="C276" s="60" t="s">
        <v>817</v>
      </c>
      <c r="D276" s="60">
        <v>7.85</v>
      </c>
      <c r="E276" s="60">
        <v>9643467479</v>
      </c>
      <c r="F276" s="60" t="s">
        <v>818</v>
      </c>
      <c r="G276" s="60" t="s">
        <v>317</v>
      </c>
      <c r="H276" s="159" t="s">
        <v>810</v>
      </c>
      <c r="I276" s="60" t="s">
        <v>20</v>
      </c>
      <c r="J276" s="60">
        <v>760000</v>
      </c>
      <c r="K276" s="60"/>
    </row>
    <row r="277" spans="1:11" ht="30" customHeight="1" x14ac:dyDescent="0.25">
      <c r="A277" s="60">
        <v>276</v>
      </c>
      <c r="B277" s="60">
        <v>220929001</v>
      </c>
      <c r="C277" s="60" t="s">
        <v>819</v>
      </c>
      <c r="D277" s="60">
        <v>6.5</v>
      </c>
      <c r="E277" s="60">
        <v>8089016888</v>
      </c>
      <c r="F277" s="60" t="s">
        <v>820</v>
      </c>
      <c r="G277" s="60" t="s">
        <v>317</v>
      </c>
      <c r="H277" s="159" t="s">
        <v>810</v>
      </c>
      <c r="I277" s="60" t="s">
        <v>20</v>
      </c>
      <c r="J277" s="60">
        <v>760000</v>
      </c>
      <c r="K277" s="60"/>
    </row>
    <row r="278" spans="1:11" ht="30" customHeight="1" x14ac:dyDescent="0.25">
      <c r="A278" s="60">
        <v>277</v>
      </c>
      <c r="B278" s="60">
        <v>220953194</v>
      </c>
      <c r="C278" s="60" t="s">
        <v>821</v>
      </c>
      <c r="D278" s="60">
        <v>7.92</v>
      </c>
      <c r="E278" s="60">
        <v>9284023616</v>
      </c>
      <c r="F278" s="60" t="s">
        <v>822</v>
      </c>
      <c r="G278" s="60" t="s">
        <v>261</v>
      </c>
      <c r="H278" s="159" t="s">
        <v>823</v>
      </c>
      <c r="I278" s="60" t="s">
        <v>20</v>
      </c>
      <c r="J278" s="60">
        <v>760000</v>
      </c>
      <c r="K278" s="60"/>
    </row>
    <row r="279" spans="1:11" ht="30" customHeight="1" x14ac:dyDescent="0.25">
      <c r="A279" s="60">
        <v>278</v>
      </c>
      <c r="B279" s="60">
        <v>220953310</v>
      </c>
      <c r="C279" s="60" t="s">
        <v>824</v>
      </c>
      <c r="D279" s="60">
        <v>7.43</v>
      </c>
      <c r="E279" s="60">
        <v>9560885571</v>
      </c>
      <c r="F279" s="60" t="s">
        <v>825</v>
      </c>
      <c r="G279" s="60" t="s">
        <v>261</v>
      </c>
      <c r="H279" s="159" t="s">
        <v>823</v>
      </c>
      <c r="I279" s="60" t="s">
        <v>20</v>
      </c>
      <c r="J279" s="60">
        <v>760000</v>
      </c>
      <c r="K279" s="60"/>
    </row>
    <row r="280" spans="1:11" ht="30" customHeight="1" x14ac:dyDescent="0.25">
      <c r="A280" s="60">
        <v>279</v>
      </c>
      <c r="B280" s="60">
        <v>220953594</v>
      </c>
      <c r="C280" s="60" t="s">
        <v>826</v>
      </c>
      <c r="D280" s="60">
        <v>7.31</v>
      </c>
      <c r="E280" s="60">
        <v>9975995725</v>
      </c>
      <c r="F280" s="60" t="s">
        <v>827</v>
      </c>
      <c r="G280" s="60" t="s">
        <v>261</v>
      </c>
      <c r="H280" s="159" t="s">
        <v>823</v>
      </c>
      <c r="I280" s="60" t="s">
        <v>20</v>
      </c>
      <c r="J280" s="60">
        <v>760000</v>
      </c>
      <c r="K280" s="60"/>
    </row>
    <row r="281" spans="1:11" ht="30" customHeight="1" x14ac:dyDescent="0.25">
      <c r="A281" s="60">
        <v>280</v>
      </c>
      <c r="B281" s="60">
        <v>220953612</v>
      </c>
      <c r="C281" s="60" t="s">
        <v>828</v>
      </c>
      <c r="D281" s="60">
        <v>7.08</v>
      </c>
      <c r="E281" s="60">
        <v>9330576606</v>
      </c>
      <c r="F281" s="60" t="s">
        <v>829</v>
      </c>
      <c r="G281" s="60" t="s">
        <v>261</v>
      </c>
      <c r="H281" s="159" t="s">
        <v>823</v>
      </c>
      <c r="I281" s="60" t="s">
        <v>20</v>
      </c>
      <c r="J281" s="60">
        <v>760000</v>
      </c>
      <c r="K281" s="60"/>
    </row>
    <row r="282" spans="1:11" ht="30" customHeight="1" x14ac:dyDescent="0.25">
      <c r="A282" s="60">
        <v>281</v>
      </c>
      <c r="B282" s="60">
        <v>220953642</v>
      </c>
      <c r="C282" s="60" t="s">
        <v>830</v>
      </c>
      <c r="D282" s="60">
        <v>6.79</v>
      </c>
      <c r="E282" s="60">
        <v>8700984791</v>
      </c>
      <c r="F282" s="60" t="s">
        <v>831</v>
      </c>
      <c r="G282" s="60" t="s">
        <v>261</v>
      </c>
      <c r="H282" s="159" t="s">
        <v>823</v>
      </c>
      <c r="I282" s="60" t="s">
        <v>20</v>
      </c>
      <c r="J282" s="60">
        <v>760000</v>
      </c>
      <c r="K282" s="60"/>
    </row>
    <row r="283" spans="1:11" ht="30" customHeight="1" x14ac:dyDescent="0.25">
      <c r="A283" s="60">
        <v>282</v>
      </c>
      <c r="B283" s="60">
        <v>220962115</v>
      </c>
      <c r="C283" s="60" t="s">
        <v>832</v>
      </c>
      <c r="D283" s="60">
        <v>6.1</v>
      </c>
      <c r="E283" s="60">
        <v>6238874944</v>
      </c>
      <c r="F283" s="60" t="s">
        <v>833</v>
      </c>
      <c r="G283" s="60" t="s">
        <v>253</v>
      </c>
      <c r="H283" s="159" t="s">
        <v>823</v>
      </c>
      <c r="I283" s="60" t="s">
        <v>20</v>
      </c>
      <c r="J283" s="60">
        <v>760000</v>
      </c>
      <c r="K283" s="60"/>
    </row>
    <row r="284" spans="1:11" ht="30" customHeight="1" x14ac:dyDescent="0.25">
      <c r="A284" s="60">
        <v>283</v>
      </c>
      <c r="B284" s="60">
        <v>220911018</v>
      </c>
      <c r="C284" s="60" t="s">
        <v>834</v>
      </c>
      <c r="D284" s="60">
        <v>8.36</v>
      </c>
      <c r="E284" s="60">
        <v>7760932116</v>
      </c>
      <c r="F284" s="60" t="s">
        <v>835</v>
      </c>
      <c r="G284" s="60" t="s">
        <v>274</v>
      </c>
      <c r="H284" s="159" t="s">
        <v>823</v>
      </c>
      <c r="I284" s="60" t="s">
        <v>20</v>
      </c>
      <c r="J284" s="60">
        <v>760000</v>
      </c>
      <c r="K284" s="60"/>
    </row>
    <row r="285" spans="1:11" ht="30" customHeight="1" x14ac:dyDescent="0.25">
      <c r="A285" s="60">
        <v>284</v>
      </c>
      <c r="B285" s="60">
        <v>220911612</v>
      </c>
      <c r="C285" s="60" t="s">
        <v>836</v>
      </c>
      <c r="D285" s="60">
        <v>6.57</v>
      </c>
      <c r="E285" s="60">
        <v>8586860427</v>
      </c>
      <c r="F285" s="60" t="s">
        <v>837</v>
      </c>
      <c r="G285" s="60" t="s">
        <v>274</v>
      </c>
      <c r="H285" s="159" t="s">
        <v>823</v>
      </c>
      <c r="I285" s="60" t="s">
        <v>20</v>
      </c>
      <c r="J285" s="60">
        <v>760000</v>
      </c>
      <c r="K285" s="60"/>
    </row>
    <row r="286" spans="1:11" ht="30" customHeight="1" x14ac:dyDescent="0.25">
      <c r="A286" s="60">
        <v>285</v>
      </c>
      <c r="B286" s="60">
        <v>220911522</v>
      </c>
      <c r="C286" s="60" t="s">
        <v>838</v>
      </c>
      <c r="D286" s="60">
        <v>6.29</v>
      </c>
      <c r="E286" s="60">
        <v>8088500518</v>
      </c>
      <c r="F286" s="60" t="s">
        <v>839</v>
      </c>
      <c r="G286" s="60" t="s">
        <v>274</v>
      </c>
      <c r="H286" s="159" t="s">
        <v>823</v>
      </c>
      <c r="I286" s="60" t="s">
        <v>20</v>
      </c>
      <c r="J286" s="60">
        <v>760000</v>
      </c>
      <c r="K286" s="60"/>
    </row>
    <row r="287" spans="1:11" ht="30" customHeight="1" x14ac:dyDescent="0.25">
      <c r="A287" s="60">
        <v>286</v>
      </c>
      <c r="B287" s="60">
        <v>220911536</v>
      </c>
      <c r="C287" s="60" t="s">
        <v>840</v>
      </c>
      <c r="D287" s="60">
        <v>6.22</v>
      </c>
      <c r="E287" s="60">
        <v>9643251526</v>
      </c>
      <c r="F287" s="60" t="s">
        <v>841</v>
      </c>
      <c r="G287" s="60" t="s">
        <v>274</v>
      </c>
      <c r="H287" s="159" t="s">
        <v>823</v>
      </c>
      <c r="I287" s="60" t="s">
        <v>20</v>
      </c>
      <c r="J287" s="60">
        <v>760000</v>
      </c>
      <c r="K287" s="60"/>
    </row>
    <row r="288" spans="1:11" ht="30" customHeight="1" x14ac:dyDescent="0.25">
      <c r="A288" s="60">
        <v>287</v>
      </c>
      <c r="B288" s="60">
        <v>220953636</v>
      </c>
      <c r="C288" s="60" t="s">
        <v>842</v>
      </c>
      <c r="D288" s="60">
        <v>6.77</v>
      </c>
      <c r="E288" s="60">
        <v>9663748748</v>
      </c>
      <c r="F288" s="60" t="s">
        <v>843</v>
      </c>
      <c r="G288" s="60" t="s">
        <v>261</v>
      </c>
      <c r="H288" s="159" t="s">
        <v>844</v>
      </c>
      <c r="I288" s="60" t="s">
        <v>20</v>
      </c>
      <c r="J288" s="60">
        <v>760000</v>
      </c>
      <c r="K288" s="60"/>
    </row>
    <row r="289" spans="1:11" ht="30" customHeight="1" x14ac:dyDescent="0.25">
      <c r="A289" s="60">
        <v>288</v>
      </c>
      <c r="B289" s="60">
        <v>220962410</v>
      </c>
      <c r="C289" s="60" t="s">
        <v>845</v>
      </c>
      <c r="D289" s="60">
        <v>8.52</v>
      </c>
      <c r="E289" s="60">
        <v>8179858725</v>
      </c>
      <c r="F289" s="60" t="s">
        <v>846</v>
      </c>
      <c r="G289" s="60" t="s">
        <v>253</v>
      </c>
      <c r="H289" s="159" t="s">
        <v>844</v>
      </c>
      <c r="I289" s="60" t="s">
        <v>20</v>
      </c>
      <c r="J289" s="60">
        <v>760000</v>
      </c>
      <c r="K289" s="60"/>
    </row>
    <row r="290" spans="1:11" ht="30" customHeight="1" x14ac:dyDescent="0.25">
      <c r="A290" s="60">
        <v>289</v>
      </c>
      <c r="B290" s="60">
        <v>220962068</v>
      </c>
      <c r="C290" s="60" t="s">
        <v>847</v>
      </c>
      <c r="D290" s="60">
        <v>7.74</v>
      </c>
      <c r="E290" s="60">
        <v>7619686360</v>
      </c>
      <c r="F290" s="60" t="s">
        <v>848</v>
      </c>
      <c r="G290" s="60" t="s">
        <v>253</v>
      </c>
      <c r="H290" s="159" t="s">
        <v>844</v>
      </c>
      <c r="I290" s="60" t="s">
        <v>20</v>
      </c>
      <c r="J290" s="60">
        <v>760000</v>
      </c>
      <c r="K290" s="60"/>
    </row>
    <row r="291" spans="1:11" ht="30" customHeight="1" x14ac:dyDescent="0.25">
      <c r="A291" s="60">
        <v>290</v>
      </c>
      <c r="B291" s="60">
        <v>220962009</v>
      </c>
      <c r="C291" s="60" t="s">
        <v>849</v>
      </c>
      <c r="D291" s="60">
        <v>6.96</v>
      </c>
      <c r="E291" s="60">
        <v>9972843517</v>
      </c>
      <c r="F291" s="60" t="s">
        <v>850</v>
      </c>
      <c r="G291" s="60" t="s">
        <v>253</v>
      </c>
      <c r="H291" s="159" t="s">
        <v>844</v>
      </c>
      <c r="I291" s="60" t="s">
        <v>20</v>
      </c>
      <c r="J291" s="60">
        <v>760000</v>
      </c>
      <c r="K291" s="60"/>
    </row>
    <row r="292" spans="1:11" ht="30" customHeight="1" x14ac:dyDescent="0.25">
      <c r="A292" s="60">
        <v>291</v>
      </c>
      <c r="B292" s="60">
        <v>220962035</v>
      </c>
      <c r="C292" s="60" t="s">
        <v>851</v>
      </c>
      <c r="D292" s="60">
        <v>6.66</v>
      </c>
      <c r="E292" s="60">
        <v>7982247739</v>
      </c>
      <c r="F292" s="60" t="s">
        <v>852</v>
      </c>
      <c r="G292" s="60" t="s">
        <v>253</v>
      </c>
      <c r="H292" s="159" t="s">
        <v>844</v>
      </c>
      <c r="I292" s="60" t="s">
        <v>20</v>
      </c>
      <c r="J292" s="60">
        <v>760000</v>
      </c>
      <c r="K292" s="60"/>
    </row>
    <row r="293" spans="1:11" ht="30" customHeight="1" x14ac:dyDescent="0.25">
      <c r="A293" s="60">
        <v>292</v>
      </c>
      <c r="B293" s="60">
        <v>220962418</v>
      </c>
      <c r="C293" s="60" t="s">
        <v>853</v>
      </c>
      <c r="D293" s="60">
        <v>6.26</v>
      </c>
      <c r="E293" s="60">
        <v>7906204362</v>
      </c>
      <c r="F293" s="60" t="s">
        <v>854</v>
      </c>
      <c r="G293" s="60" t="s">
        <v>253</v>
      </c>
      <c r="H293" s="159" t="s">
        <v>844</v>
      </c>
      <c r="I293" s="60" t="s">
        <v>20</v>
      </c>
      <c r="J293" s="60">
        <v>760000</v>
      </c>
      <c r="K293" s="60"/>
    </row>
    <row r="294" spans="1:11" ht="30" customHeight="1" x14ac:dyDescent="0.25">
      <c r="A294" s="60">
        <v>293</v>
      </c>
      <c r="B294" s="60">
        <v>220968134</v>
      </c>
      <c r="C294" s="60" t="s">
        <v>855</v>
      </c>
      <c r="D294" s="60">
        <v>6.78</v>
      </c>
      <c r="E294" s="60">
        <v>9325603710</v>
      </c>
      <c r="F294" s="60" t="s">
        <v>856</v>
      </c>
      <c r="G294" s="60" t="s">
        <v>384</v>
      </c>
      <c r="H294" s="159" t="s">
        <v>844</v>
      </c>
      <c r="I294" s="60" t="s">
        <v>20</v>
      </c>
      <c r="J294" s="60">
        <v>760000</v>
      </c>
      <c r="K294" s="60"/>
    </row>
    <row r="295" spans="1:11" ht="30" customHeight="1" x14ac:dyDescent="0.25">
      <c r="A295" s="60">
        <v>294</v>
      </c>
      <c r="B295" s="60">
        <v>220907638</v>
      </c>
      <c r="C295" s="60" t="s">
        <v>857</v>
      </c>
      <c r="D295" s="60">
        <v>7.21</v>
      </c>
      <c r="E295" s="60">
        <v>8800825438</v>
      </c>
      <c r="F295" s="60" t="s">
        <v>858</v>
      </c>
      <c r="G295" s="60" t="s">
        <v>277</v>
      </c>
      <c r="H295" s="159" t="s">
        <v>844</v>
      </c>
      <c r="I295" s="60" t="s">
        <v>20</v>
      </c>
      <c r="J295" s="60">
        <v>760000</v>
      </c>
      <c r="K295" s="60"/>
    </row>
    <row r="296" spans="1:11" ht="30" customHeight="1" x14ac:dyDescent="0.25">
      <c r="A296" s="60">
        <v>295</v>
      </c>
      <c r="B296" s="60">
        <v>220907628</v>
      </c>
      <c r="C296" s="60" t="s">
        <v>859</v>
      </c>
      <c r="D296" s="60">
        <v>6.97</v>
      </c>
      <c r="E296" s="60">
        <v>7200094211</v>
      </c>
      <c r="F296" s="60" t="s">
        <v>860</v>
      </c>
      <c r="G296" s="60" t="s">
        <v>277</v>
      </c>
      <c r="H296" s="159" t="s">
        <v>844</v>
      </c>
      <c r="I296" s="60" t="s">
        <v>20</v>
      </c>
      <c r="J296" s="60">
        <v>760000</v>
      </c>
      <c r="K296" s="60"/>
    </row>
    <row r="297" spans="1:11" ht="30" customHeight="1" x14ac:dyDescent="0.25">
      <c r="A297" s="60">
        <v>296</v>
      </c>
      <c r="B297" s="60">
        <v>210907374</v>
      </c>
      <c r="C297" s="60" t="s">
        <v>861</v>
      </c>
      <c r="D297" s="60">
        <v>6.13</v>
      </c>
      <c r="E297" s="60">
        <v>9643752178</v>
      </c>
      <c r="F297" s="60" t="s">
        <v>862</v>
      </c>
      <c r="G297" s="60" t="s">
        <v>277</v>
      </c>
      <c r="H297" s="159" t="s">
        <v>844</v>
      </c>
      <c r="I297" s="60" t="s">
        <v>20</v>
      </c>
      <c r="J297" s="60">
        <v>760000</v>
      </c>
      <c r="K297" s="60"/>
    </row>
    <row r="298" spans="1:11" ht="30" customHeight="1" x14ac:dyDescent="0.25">
      <c r="A298" s="60">
        <v>297</v>
      </c>
      <c r="B298" s="60">
        <v>220953464</v>
      </c>
      <c r="C298" s="60" t="s">
        <v>863</v>
      </c>
      <c r="D298" s="60">
        <v>6.59</v>
      </c>
      <c r="E298" s="60">
        <v>7022906584</v>
      </c>
      <c r="F298" s="60" t="s">
        <v>864</v>
      </c>
      <c r="G298" s="60" t="s">
        <v>261</v>
      </c>
      <c r="H298" s="159" t="s">
        <v>865</v>
      </c>
      <c r="I298" s="60" t="s">
        <v>20</v>
      </c>
      <c r="J298" s="60">
        <v>760000</v>
      </c>
      <c r="K298" s="60"/>
    </row>
    <row r="299" spans="1:11" ht="30" customHeight="1" x14ac:dyDescent="0.25">
      <c r="A299" s="60">
        <v>298</v>
      </c>
      <c r="B299" s="60">
        <v>220961086</v>
      </c>
      <c r="C299" s="60" t="s">
        <v>866</v>
      </c>
      <c r="D299" s="60">
        <v>7.16</v>
      </c>
      <c r="E299" s="60">
        <v>8249099403</v>
      </c>
      <c r="F299" s="60" t="s">
        <v>867</v>
      </c>
      <c r="G299" s="60" t="s">
        <v>541</v>
      </c>
      <c r="H299" s="159" t="s">
        <v>865</v>
      </c>
      <c r="I299" s="60" t="s">
        <v>20</v>
      </c>
      <c r="J299" s="60">
        <v>760000</v>
      </c>
      <c r="K299" s="60"/>
    </row>
    <row r="300" spans="1:11" ht="30" customHeight="1" x14ac:dyDescent="0.25">
      <c r="A300" s="60">
        <v>299</v>
      </c>
      <c r="B300" s="60">
        <v>220907764</v>
      </c>
      <c r="C300" s="60" t="s">
        <v>868</v>
      </c>
      <c r="D300" s="60">
        <v>6.87</v>
      </c>
      <c r="E300" s="60">
        <v>7000710912</v>
      </c>
      <c r="F300" s="60" t="s">
        <v>869</v>
      </c>
      <c r="G300" s="60" t="s">
        <v>277</v>
      </c>
      <c r="H300" s="159" t="s">
        <v>865</v>
      </c>
      <c r="I300" s="60" t="s">
        <v>20</v>
      </c>
      <c r="J300" s="60">
        <v>760000</v>
      </c>
      <c r="K300" s="60"/>
    </row>
    <row r="301" spans="1:11" ht="30" customHeight="1" x14ac:dyDescent="0.25">
      <c r="A301" s="60">
        <v>300</v>
      </c>
      <c r="B301" s="60">
        <v>220907746</v>
      </c>
      <c r="C301" s="60" t="s">
        <v>870</v>
      </c>
      <c r="D301" s="60">
        <v>6.55</v>
      </c>
      <c r="E301" s="60">
        <v>7740992200</v>
      </c>
      <c r="F301" s="60" t="s">
        <v>871</v>
      </c>
      <c r="G301" s="60" t="s">
        <v>277</v>
      </c>
      <c r="H301" s="159" t="s">
        <v>865</v>
      </c>
      <c r="I301" s="60" t="s">
        <v>20</v>
      </c>
      <c r="J301" s="60">
        <v>760000</v>
      </c>
      <c r="K301" s="60"/>
    </row>
    <row r="302" spans="1:11" ht="30" customHeight="1" x14ac:dyDescent="0.25">
      <c r="A302" s="60">
        <v>301</v>
      </c>
      <c r="B302" s="60">
        <v>220911017</v>
      </c>
      <c r="C302" s="60" t="s">
        <v>872</v>
      </c>
      <c r="D302" s="60">
        <v>6.98</v>
      </c>
      <c r="E302" s="60">
        <v>8310631349</v>
      </c>
      <c r="F302" s="60" t="s">
        <v>873</v>
      </c>
      <c r="G302" s="60" t="s">
        <v>274</v>
      </c>
      <c r="H302" s="159" t="s">
        <v>865</v>
      </c>
      <c r="I302" s="60" t="s">
        <v>20</v>
      </c>
      <c r="J302" s="60">
        <v>760000</v>
      </c>
      <c r="K302" s="60"/>
    </row>
    <row r="303" spans="1:11" ht="30" customHeight="1" x14ac:dyDescent="0.25">
      <c r="A303" s="60">
        <v>302</v>
      </c>
      <c r="B303" s="60">
        <v>220953622</v>
      </c>
      <c r="C303" s="60" t="s">
        <v>874</v>
      </c>
      <c r="D303" s="60">
        <v>7.7</v>
      </c>
      <c r="E303" s="163">
        <v>9620888897</v>
      </c>
      <c r="F303" s="60" t="s">
        <v>875</v>
      </c>
      <c r="G303" s="60" t="s">
        <v>261</v>
      </c>
      <c r="H303" s="60" t="s">
        <v>141</v>
      </c>
      <c r="I303" s="60" t="s">
        <v>19</v>
      </c>
      <c r="J303" s="60">
        <v>900825</v>
      </c>
      <c r="K303" s="60"/>
    </row>
    <row r="304" spans="1:11" ht="30" customHeight="1" x14ac:dyDescent="0.25">
      <c r="A304" s="60">
        <v>303</v>
      </c>
      <c r="B304" s="60">
        <v>220953654</v>
      </c>
      <c r="C304" s="60" t="s">
        <v>876</v>
      </c>
      <c r="D304" s="60">
        <v>7.69</v>
      </c>
      <c r="E304" s="163">
        <v>9650814766</v>
      </c>
      <c r="F304" s="60" t="s">
        <v>877</v>
      </c>
      <c r="G304" s="60" t="s">
        <v>261</v>
      </c>
      <c r="H304" s="60" t="s">
        <v>141</v>
      </c>
      <c r="I304" s="60" t="s">
        <v>19</v>
      </c>
      <c r="J304" s="60">
        <v>900825</v>
      </c>
      <c r="K304" s="60"/>
    </row>
    <row r="305" spans="1:11" ht="30" customHeight="1" x14ac:dyDescent="0.25">
      <c r="A305" s="60">
        <v>304</v>
      </c>
      <c r="B305" s="60">
        <v>220953344</v>
      </c>
      <c r="C305" s="60" t="s">
        <v>878</v>
      </c>
      <c r="D305" s="60">
        <v>7.38</v>
      </c>
      <c r="E305" s="60">
        <v>9356996866</v>
      </c>
      <c r="F305" s="60" t="s">
        <v>879</v>
      </c>
      <c r="G305" s="60" t="s">
        <v>261</v>
      </c>
      <c r="H305" s="60" t="s">
        <v>141</v>
      </c>
      <c r="I305" s="60" t="s">
        <v>19</v>
      </c>
      <c r="J305" s="60">
        <v>900825</v>
      </c>
      <c r="K305" s="60"/>
    </row>
    <row r="306" spans="1:11" ht="30" customHeight="1" x14ac:dyDescent="0.25">
      <c r="A306" s="60">
        <v>305</v>
      </c>
      <c r="B306" s="60">
        <v>220905008</v>
      </c>
      <c r="C306" s="60" t="s">
        <v>880</v>
      </c>
      <c r="D306" s="60">
        <v>9.0399999999999991</v>
      </c>
      <c r="E306" s="60">
        <v>9353370493</v>
      </c>
      <c r="F306" s="60" t="s">
        <v>881</v>
      </c>
      <c r="G306" s="60" t="s">
        <v>256</v>
      </c>
      <c r="H306" s="60" t="s">
        <v>141</v>
      </c>
      <c r="I306" s="60" t="s">
        <v>19</v>
      </c>
      <c r="J306" s="60">
        <v>900825</v>
      </c>
      <c r="K306" s="60"/>
    </row>
    <row r="307" spans="1:11" ht="30" customHeight="1" x14ac:dyDescent="0.25">
      <c r="A307" s="60">
        <v>306</v>
      </c>
      <c r="B307" s="60">
        <v>220962436</v>
      </c>
      <c r="C307" s="60" t="s">
        <v>882</v>
      </c>
      <c r="D307" s="60">
        <v>7.35</v>
      </c>
      <c r="E307" s="163">
        <v>9265684017</v>
      </c>
      <c r="F307" s="60" t="s">
        <v>883</v>
      </c>
      <c r="G307" s="60" t="s">
        <v>253</v>
      </c>
      <c r="H307" s="60" t="s">
        <v>141</v>
      </c>
      <c r="I307" s="60" t="s">
        <v>19</v>
      </c>
      <c r="J307" s="60">
        <v>900825</v>
      </c>
      <c r="K307" s="60"/>
    </row>
    <row r="308" spans="1:11" ht="30" customHeight="1" x14ac:dyDescent="0.25">
      <c r="A308" s="60">
        <v>307</v>
      </c>
      <c r="B308" s="60">
        <v>220962438</v>
      </c>
      <c r="C308" s="60" t="s">
        <v>884</v>
      </c>
      <c r="D308" s="60">
        <v>8.25</v>
      </c>
      <c r="E308" s="60">
        <v>9073277216</v>
      </c>
      <c r="F308" s="60" t="s">
        <v>885</v>
      </c>
      <c r="G308" s="60" t="s">
        <v>253</v>
      </c>
      <c r="H308" s="60" t="s">
        <v>141</v>
      </c>
      <c r="I308" s="60" t="s">
        <v>19</v>
      </c>
      <c r="J308" s="60">
        <v>900825</v>
      </c>
      <c r="K308" s="60"/>
    </row>
    <row r="309" spans="1:11" ht="30" customHeight="1" x14ac:dyDescent="0.25">
      <c r="A309" s="60">
        <v>308</v>
      </c>
      <c r="B309" s="60">
        <v>220953044</v>
      </c>
      <c r="C309" s="60" t="s">
        <v>391</v>
      </c>
      <c r="D309" s="60">
        <v>8.17</v>
      </c>
      <c r="E309" s="60">
        <v>9174741646</v>
      </c>
      <c r="F309" s="60" t="s">
        <v>886</v>
      </c>
      <c r="G309" s="60" t="s">
        <v>261</v>
      </c>
      <c r="H309" s="60" t="s">
        <v>142</v>
      </c>
      <c r="I309" s="60" t="s">
        <v>19</v>
      </c>
      <c r="J309" s="60">
        <v>950000</v>
      </c>
      <c r="K309" s="60"/>
    </row>
    <row r="310" spans="1:11" ht="30" customHeight="1" x14ac:dyDescent="0.25">
      <c r="A310" s="60">
        <v>309</v>
      </c>
      <c r="B310" s="60">
        <v>220953312</v>
      </c>
      <c r="C310" s="60" t="s">
        <v>887</v>
      </c>
      <c r="D310" s="60">
        <v>7.93</v>
      </c>
      <c r="E310" s="60">
        <v>6303321479</v>
      </c>
      <c r="F310" s="60" t="s">
        <v>888</v>
      </c>
      <c r="G310" s="60" t="s">
        <v>261</v>
      </c>
      <c r="H310" s="60" t="s">
        <v>142</v>
      </c>
      <c r="I310" s="60" t="s">
        <v>19</v>
      </c>
      <c r="J310" s="60">
        <v>950000</v>
      </c>
      <c r="K310" s="60"/>
    </row>
    <row r="311" spans="1:11" ht="30" customHeight="1" x14ac:dyDescent="0.25">
      <c r="A311" s="60">
        <v>310</v>
      </c>
      <c r="B311" s="60">
        <v>220953384</v>
      </c>
      <c r="C311" s="60" t="s">
        <v>889</v>
      </c>
      <c r="D311" s="60">
        <v>7.72</v>
      </c>
      <c r="E311" s="60">
        <v>8618174410</v>
      </c>
      <c r="F311" s="60" t="s">
        <v>890</v>
      </c>
      <c r="G311" s="60" t="s">
        <v>261</v>
      </c>
      <c r="H311" s="60" t="s">
        <v>142</v>
      </c>
      <c r="I311" s="60" t="s">
        <v>19</v>
      </c>
      <c r="J311" s="60">
        <v>950000</v>
      </c>
      <c r="K311" s="60"/>
    </row>
    <row r="312" spans="1:11" ht="30" customHeight="1" x14ac:dyDescent="0.25">
      <c r="A312" s="60">
        <v>311</v>
      </c>
      <c r="B312" s="60">
        <v>220905490</v>
      </c>
      <c r="C312" s="60" t="s">
        <v>891</v>
      </c>
      <c r="D312" s="60">
        <v>8.4600000000000009</v>
      </c>
      <c r="E312" s="60">
        <v>7050070807</v>
      </c>
      <c r="F312" s="60" t="s">
        <v>892</v>
      </c>
      <c r="G312" s="60" t="s">
        <v>256</v>
      </c>
      <c r="H312" s="60" t="s">
        <v>142</v>
      </c>
      <c r="I312" s="60" t="s">
        <v>19</v>
      </c>
      <c r="J312" s="60">
        <v>950000</v>
      </c>
      <c r="K312" s="60"/>
    </row>
    <row r="313" spans="1:11" ht="30" customHeight="1" x14ac:dyDescent="0.25">
      <c r="A313" s="60">
        <v>312</v>
      </c>
      <c r="B313" s="60">
        <v>220911168</v>
      </c>
      <c r="C313" s="60" t="s">
        <v>893</v>
      </c>
      <c r="D313" s="60">
        <v>8.41</v>
      </c>
      <c r="E313" s="60">
        <v>9560824245</v>
      </c>
      <c r="F313" s="60" t="s">
        <v>894</v>
      </c>
      <c r="G313" s="60" t="s">
        <v>274</v>
      </c>
      <c r="H313" s="60" t="s">
        <v>142</v>
      </c>
      <c r="I313" s="60" t="s">
        <v>19</v>
      </c>
      <c r="J313" s="60">
        <v>950000</v>
      </c>
      <c r="K313" s="60"/>
    </row>
    <row r="314" spans="1:11" ht="30" customHeight="1" x14ac:dyDescent="0.25">
      <c r="A314" s="60">
        <v>313</v>
      </c>
      <c r="B314" s="159">
        <v>220962428</v>
      </c>
      <c r="C314" s="159" t="s">
        <v>895</v>
      </c>
      <c r="D314" s="160">
        <v>8.58</v>
      </c>
      <c r="E314" s="159">
        <v>6355453239</v>
      </c>
      <c r="F314" s="159" t="s">
        <v>896</v>
      </c>
      <c r="G314" s="60" t="s">
        <v>253</v>
      </c>
      <c r="H314" s="60" t="s">
        <v>145</v>
      </c>
      <c r="I314" s="60" t="s">
        <v>20</v>
      </c>
      <c r="J314" s="60">
        <v>4458750</v>
      </c>
      <c r="K314" s="60">
        <v>110000</v>
      </c>
    </row>
    <row r="315" spans="1:11" ht="30" customHeight="1" x14ac:dyDescent="0.25">
      <c r="A315" s="60">
        <v>314</v>
      </c>
      <c r="B315" s="60">
        <v>220962072</v>
      </c>
      <c r="C315" s="60" t="s">
        <v>897</v>
      </c>
      <c r="D315" s="60">
        <v>8.06</v>
      </c>
      <c r="E315" s="60">
        <v>9576114110</v>
      </c>
      <c r="F315" s="60" t="s">
        <v>898</v>
      </c>
      <c r="G315" s="60" t="s">
        <v>253</v>
      </c>
      <c r="H315" s="60" t="s">
        <v>143</v>
      </c>
      <c r="I315" s="60" t="s">
        <v>20</v>
      </c>
      <c r="J315" s="60">
        <v>852938</v>
      </c>
      <c r="K315" s="161">
        <v>42000</v>
      </c>
    </row>
    <row r="316" spans="1:11" ht="30" customHeight="1" x14ac:dyDescent="0.25">
      <c r="A316" s="60">
        <v>315</v>
      </c>
      <c r="B316" s="60">
        <v>220962396</v>
      </c>
      <c r="C316" s="60" t="s">
        <v>899</v>
      </c>
      <c r="D316" s="60">
        <v>7.32</v>
      </c>
      <c r="E316" s="60">
        <v>9207627645</v>
      </c>
      <c r="F316" s="60" t="s">
        <v>900</v>
      </c>
      <c r="G316" s="60" t="s">
        <v>253</v>
      </c>
      <c r="H316" s="60" t="s">
        <v>143</v>
      </c>
      <c r="I316" s="60" t="s">
        <v>20</v>
      </c>
      <c r="J316" s="60">
        <v>852938</v>
      </c>
      <c r="K316" s="161">
        <v>42000</v>
      </c>
    </row>
    <row r="317" spans="1:11" ht="30" customHeight="1" x14ac:dyDescent="0.25">
      <c r="A317" s="60">
        <v>316</v>
      </c>
      <c r="B317" s="60">
        <v>220933128</v>
      </c>
      <c r="C317" s="60" t="s">
        <v>901</v>
      </c>
      <c r="D317" s="60">
        <v>8.14</v>
      </c>
      <c r="E317" s="60">
        <v>8660199036</v>
      </c>
      <c r="F317" s="60" t="s">
        <v>902</v>
      </c>
      <c r="G317" s="60" t="s">
        <v>330</v>
      </c>
      <c r="H317" s="60" t="s">
        <v>146</v>
      </c>
      <c r="I317" s="60" t="s">
        <v>20</v>
      </c>
      <c r="J317" s="60">
        <v>1450000</v>
      </c>
      <c r="K317" s="60">
        <v>50000</v>
      </c>
    </row>
    <row r="318" spans="1:11" ht="30" customHeight="1" x14ac:dyDescent="0.25">
      <c r="A318" s="60">
        <v>317</v>
      </c>
      <c r="B318" s="60">
        <v>220933176</v>
      </c>
      <c r="C318" s="60" t="s">
        <v>903</v>
      </c>
      <c r="D318" s="60">
        <v>8.0299999999999994</v>
      </c>
      <c r="E318" s="60">
        <v>7087904242</v>
      </c>
      <c r="F318" s="60" t="s">
        <v>904</v>
      </c>
      <c r="G318" s="60" t="s">
        <v>330</v>
      </c>
      <c r="H318" s="60" t="s">
        <v>146</v>
      </c>
      <c r="I318" s="60" t="s">
        <v>20</v>
      </c>
      <c r="J318" s="60">
        <v>1450000</v>
      </c>
      <c r="K318" s="60">
        <v>50000</v>
      </c>
    </row>
    <row r="319" spans="1:11" ht="30" customHeight="1" x14ac:dyDescent="0.25">
      <c r="A319" s="60">
        <v>318</v>
      </c>
      <c r="B319" s="60">
        <v>220933146</v>
      </c>
      <c r="C319" s="60" t="s">
        <v>905</v>
      </c>
      <c r="D319" s="60">
        <v>7.6</v>
      </c>
      <c r="E319" s="60">
        <v>7892160767</v>
      </c>
      <c r="F319" s="60" t="s">
        <v>906</v>
      </c>
      <c r="G319" s="60" t="s">
        <v>330</v>
      </c>
      <c r="H319" s="60" t="s">
        <v>146</v>
      </c>
      <c r="I319" s="60" t="s">
        <v>20</v>
      </c>
      <c r="J319" s="60">
        <v>1450000</v>
      </c>
      <c r="K319" s="60">
        <v>50000</v>
      </c>
    </row>
    <row r="320" spans="1:11" ht="30" customHeight="1" x14ac:dyDescent="0.25">
      <c r="A320" s="60">
        <v>319</v>
      </c>
      <c r="B320" s="60">
        <v>220907830</v>
      </c>
      <c r="C320" s="60" t="s">
        <v>907</v>
      </c>
      <c r="D320" s="60">
        <v>8.27</v>
      </c>
      <c r="E320" s="60">
        <v>9619138157</v>
      </c>
      <c r="F320" s="60" t="s">
        <v>908</v>
      </c>
      <c r="G320" s="60" t="s">
        <v>277</v>
      </c>
      <c r="H320" s="60" t="s">
        <v>146</v>
      </c>
      <c r="I320" s="60" t="s">
        <v>20</v>
      </c>
      <c r="J320" s="60">
        <v>1450000</v>
      </c>
      <c r="K320" s="60">
        <v>50000</v>
      </c>
    </row>
    <row r="321" spans="1:11" ht="30" customHeight="1" x14ac:dyDescent="0.25">
      <c r="A321" s="60">
        <v>320</v>
      </c>
      <c r="B321" s="60">
        <v>220907754</v>
      </c>
      <c r="C321" s="60" t="s">
        <v>909</v>
      </c>
      <c r="D321" s="60">
        <v>7.33</v>
      </c>
      <c r="E321" s="60">
        <v>8879371681</v>
      </c>
      <c r="F321" s="60" t="s">
        <v>910</v>
      </c>
      <c r="G321" s="60" t="s">
        <v>277</v>
      </c>
      <c r="H321" s="60" t="s">
        <v>146</v>
      </c>
      <c r="I321" s="60" t="s">
        <v>20</v>
      </c>
      <c r="J321" s="60">
        <v>1450000</v>
      </c>
      <c r="K321" s="60">
        <v>50000</v>
      </c>
    </row>
    <row r="322" spans="1:11" ht="30" customHeight="1" x14ac:dyDescent="0.25">
      <c r="A322" s="60">
        <v>321</v>
      </c>
      <c r="B322" s="60">
        <v>220907812</v>
      </c>
      <c r="C322" s="60" t="s">
        <v>911</v>
      </c>
      <c r="D322" s="60">
        <v>7.12</v>
      </c>
      <c r="E322" s="60">
        <v>9819909726</v>
      </c>
      <c r="F322" s="60" t="s">
        <v>912</v>
      </c>
      <c r="G322" s="60" t="s">
        <v>277</v>
      </c>
      <c r="H322" s="60" t="s">
        <v>146</v>
      </c>
      <c r="I322" s="60" t="s">
        <v>20</v>
      </c>
      <c r="J322" s="60">
        <v>1450000</v>
      </c>
      <c r="K322" s="60">
        <v>50000</v>
      </c>
    </row>
    <row r="323" spans="1:11" ht="30" customHeight="1" x14ac:dyDescent="0.25">
      <c r="A323" s="60">
        <v>322</v>
      </c>
      <c r="B323" s="60">
        <v>220932146</v>
      </c>
      <c r="C323" s="60" t="s">
        <v>913</v>
      </c>
      <c r="D323" s="60">
        <v>8.01</v>
      </c>
      <c r="E323" s="60">
        <v>9496623927</v>
      </c>
      <c r="F323" s="60" t="s">
        <v>914</v>
      </c>
      <c r="G323" s="60" t="s">
        <v>289</v>
      </c>
      <c r="H323" s="60" t="s">
        <v>146</v>
      </c>
      <c r="I323" s="60" t="s">
        <v>20</v>
      </c>
      <c r="J323" s="60">
        <v>1450000</v>
      </c>
      <c r="K323" s="60">
        <v>50000</v>
      </c>
    </row>
    <row r="324" spans="1:11" ht="30" customHeight="1" x14ac:dyDescent="0.25">
      <c r="A324" s="60">
        <v>323</v>
      </c>
      <c r="B324" s="60">
        <v>220932068</v>
      </c>
      <c r="C324" s="60" t="s">
        <v>915</v>
      </c>
      <c r="D324" s="60">
        <v>6.99</v>
      </c>
      <c r="E324" s="60">
        <v>8779129812</v>
      </c>
      <c r="F324" s="60" t="s">
        <v>916</v>
      </c>
      <c r="G324" s="60" t="s">
        <v>289</v>
      </c>
      <c r="H324" s="60" t="s">
        <v>146</v>
      </c>
      <c r="I324" s="60" t="s">
        <v>20</v>
      </c>
      <c r="J324" s="60">
        <v>1450000</v>
      </c>
      <c r="K324" s="60">
        <v>50000</v>
      </c>
    </row>
    <row r="325" spans="1:11" ht="30" customHeight="1" x14ac:dyDescent="0.25">
      <c r="A325" s="60">
        <v>324</v>
      </c>
      <c r="B325" s="60">
        <v>220932110</v>
      </c>
      <c r="C325" s="60" t="s">
        <v>917</v>
      </c>
      <c r="D325" s="60">
        <v>6.73</v>
      </c>
      <c r="E325" s="60">
        <v>9602086114</v>
      </c>
      <c r="F325" s="60" t="s">
        <v>918</v>
      </c>
      <c r="G325" s="60" t="s">
        <v>289</v>
      </c>
      <c r="H325" s="60" t="s">
        <v>146</v>
      </c>
      <c r="I325" s="60" t="s">
        <v>20</v>
      </c>
      <c r="J325" s="60">
        <v>1450000</v>
      </c>
      <c r="K325" s="60">
        <v>50000</v>
      </c>
    </row>
    <row r="326" spans="1:11" ht="30" customHeight="1" x14ac:dyDescent="0.25">
      <c r="A326" s="60">
        <v>325</v>
      </c>
      <c r="B326" s="60">
        <v>220932224</v>
      </c>
      <c r="C326" s="60" t="s">
        <v>919</v>
      </c>
      <c r="D326" s="60">
        <v>6.45</v>
      </c>
      <c r="E326" s="60">
        <v>9740620531</v>
      </c>
      <c r="F326" s="60" t="s">
        <v>920</v>
      </c>
      <c r="G326" s="60" t="s">
        <v>289</v>
      </c>
      <c r="H326" s="60" t="s">
        <v>146</v>
      </c>
      <c r="I326" s="60" t="s">
        <v>20</v>
      </c>
      <c r="J326" s="60">
        <v>1450000</v>
      </c>
      <c r="K326" s="60">
        <v>50000</v>
      </c>
    </row>
    <row r="327" spans="1:11" ht="30" customHeight="1" x14ac:dyDescent="0.25">
      <c r="A327" s="60">
        <v>326</v>
      </c>
      <c r="B327" s="60">
        <v>220909090</v>
      </c>
      <c r="C327" s="60" t="s">
        <v>921</v>
      </c>
      <c r="D327" s="60">
        <v>6.1</v>
      </c>
      <c r="E327" s="60">
        <v>7456970870</v>
      </c>
      <c r="F327" s="60" t="s">
        <v>922</v>
      </c>
      <c r="G327" s="60" t="s">
        <v>312</v>
      </c>
      <c r="H327" s="60" t="s">
        <v>146</v>
      </c>
      <c r="I327" s="60" t="s">
        <v>20</v>
      </c>
      <c r="J327" s="60">
        <v>1450000</v>
      </c>
      <c r="K327" s="60">
        <v>50000</v>
      </c>
    </row>
    <row r="328" spans="1:11" ht="30" customHeight="1" x14ac:dyDescent="0.25">
      <c r="A328" s="60">
        <v>327</v>
      </c>
      <c r="B328" s="60">
        <v>220961200</v>
      </c>
      <c r="C328" s="60" t="s">
        <v>923</v>
      </c>
      <c r="D328" s="60">
        <v>6.54</v>
      </c>
      <c r="E328" s="60">
        <v>9045144931</v>
      </c>
      <c r="F328" s="60" t="s">
        <v>924</v>
      </c>
      <c r="G328" s="60" t="s">
        <v>541</v>
      </c>
      <c r="H328" s="60" t="s">
        <v>146</v>
      </c>
      <c r="I328" s="60" t="s">
        <v>20</v>
      </c>
      <c r="J328" s="60">
        <v>1450000</v>
      </c>
      <c r="K328" s="60">
        <v>50000</v>
      </c>
    </row>
    <row r="329" spans="1:11" ht="30" customHeight="1" x14ac:dyDescent="0.25">
      <c r="A329" s="60">
        <v>328</v>
      </c>
      <c r="B329" s="60">
        <v>220953136</v>
      </c>
      <c r="C329" s="60" t="s">
        <v>925</v>
      </c>
      <c r="D329" s="60">
        <v>8.41</v>
      </c>
      <c r="E329" s="60">
        <v>7093166199</v>
      </c>
      <c r="F329" s="60" t="s">
        <v>926</v>
      </c>
      <c r="G329" s="60" t="s">
        <v>261</v>
      </c>
      <c r="H329" s="60" t="s">
        <v>148</v>
      </c>
      <c r="I329" s="60" t="s">
        <v>19</v>
      </c>
      <c r="J329" s="60">
        <v>1081724</v>
      </c>
      <c r="K329" s="60"/>
    </row>
    <row r="330" spans="1:11" ht="30" customHeight="1" x14ac:dyDescent="0.25">
      <c r="A330" s="60">
        <v>329</v>
      </c>
      <c r="B330" s="60">
        <v>220962350</v>
      </c>
      <c r="C330" s="60" t="s">
        <v>927</v>
      </c>
      <c r="D330" s="60"/>
      <c r="E330" s="60">
        <v>9972848989</v>
      </c>
      <c r="F330" s="60" t="s">
        <v>928</v>
      </c>
      <c r="G330" s="60" t="s">
        <v>253</v>
      </c>
      <c r="H330" s="60" t="s">
        <v>148</v>
      </c>
      <c r="I330" s="60" t="s">
        <v>19</v>
      </c>
      <c r="J330" s="60">
        <v>1081724</v>
      </c>
      <c r="K330" s="60"/>
    </row>
    <row r="331" spans="1:11" ht="30" customHeight="1" x14ac:dyDescent="0.25">
      <c r="A331" s="60">
        <v>330</v>
      </c>
      <c r="B331" s="60">
        <v>220909574</v>
      </c>
      <c r="C331" s="60" t="s">
        <v>929</v>
      </c>
      <c r="D331" s="60">
        <v>8.73</v>
      </c>
      <c r="E331" s="60">
        <v>9923843065</v>
      </c>
      <c r="F331" s="60" t="s">
        <v>930</v>
      </c>
      <c r="G331" s="60" t="s">
        <v>312</v>
      </c>
      <c r="H331" s="60" t="s">
        <v>89</v>
      </c>
      <c r="I331" s="60" t="s">
        <v>20</v>
      </c>
      <c r="J331" s="60">
        <v>1150000</v>
      </c>
      <c r="K331" s="60">
        <v>25000</v>
      </c>
    </row>
    <row r="332" spans="1:11" ht="30" customHeight="1" x14ac:dyDescent="0.25">
      <c r="A332" s="60">
        <v>331</v>
      </c>
      <c r="B332" s="60">
        <v>220929026</v>
      </c>
      <c r="C332" s="60" t="s">
        <v>931</v>
      </c>
      <c r="D332" s="60">
        <v>9.31</v>
      </c>
      <c r="E332" s="60">
        <v>8056030868</v>
      </c>
      <c r="F332" s="60" t="s">
        <v>932</v>
      </c>
      <c r="G332" s="60" t="s">
        <v>317</v>
      </c>
      <c r="H332" s="60" t="s">
        <v>89</v>
      </c>
      <c r="I332" s="60" t="s">
        <v>20</v>
      </c>
      <c r="J332" s="60">
        <v>1150000</v>
      </c>
      <c r="K332" s="60">
        <v>25000</v>
      </c>
    </row>
    <row r="333" spans="1:11" ht="30" customHeight="1" x14ac:dyDescent="0.25">
      <c r="A333" s="60">
        <v>332</v>
      </c>
      <c r="B333" s="60">
        <v>220929160</v>
      </c>
      <c r="C333" s="60" t="s">
        <v>933</v>
      </c>
      <c r="D333" s="60">
        <v>6.9</v>
      </c>
      <c r="E333" s="60">
        <v>9356614919</v>
      </c>
      <c r="F333" s="60" t="s">
        <v>934</v>
      </c>
      <c r="G333" s="60" t="s">
        <v>317</v>
      </c>
      <c r="H333" s="60" t="s">
        <v>89</v>
      </c>
      <c r="I333" s="60" t="s">
        <v>20</v>
      </c>
      <c r="J333" s="60">
        <v>1150000</v>
      </c>
      <c r="K333" s="60">
        <v>25000</v>
      </c>
    </row>
    <row r="334" spans="1:11" ht="30" customHeight="1" x14ac:dyDescent="0.25">
      <c r="A334" s="60">
        <v>333</v>
      </c>
      <c r="B334" s="60">
        <v>220911256</v>
      </c>
      <c r="C334" s="60" t="s">
        <v>935</v>
      </c>
      <c r="D334" s="60">
        <v>7.98</v>
      </c>
      <c r="E334" s="60">
        <v>9731006863</v>
      </c>
      <c r="F334" s="60" t="s">
        <v>936</v>
      </c>
      <c r="G334" s="60" t="s">
        <v>274</v>
      </c>
      <c r="H334" s="60" t="s">
        <v>149</v>
      </c>
      <c r="I334" s="60" t="s">
        <v>20</v>
      </c>
      <c r="J334" s="60">
        <v>1000000</v>
      </c>
      <c r="K334" s="60">
        <v>30000</v>
      </c>
    </row>
    <row r="335" spans="1:11" ht="30" customHeight="1" x14ac:dyDescent="0.25">
      <c r="A335" s="60">
        <v>334</v>
      </c>
      <c r="B335" s="60">
        <v>220911358</v>
      </c>
      <c r="C335" s="60" t="s">
        <v>937</v>
      </c>
      <c r="D335" s="60">
        <v>7.35</v>
      </c>
      <c r="E335" s="60">
        <v>9606632372</v>
      </c>
      <c r="F335" s="60" t="s">
        <v>938</v>
      </c>
      <c r="G335" s="60" t="s">
        <v>274</v>
      </c>
      <c r="H335" s="60" t="s">
        <v>149</v>
      </c>
      <c r="I335" s="60" t="s">
        <v>20</v>
      </c>
      <c r="J335" s="60">
        <v>1000000</v>
      </c>
      <c r="K335" s="60">
        <v>30000</v>
      </c>
    </row>
    <row r="336" spans="1:11" ht="30" customHeight="1" x14ac:dyDescent="0.25">
      <c r="A336" s="60">
        <v>335</v>
      </c>
      <c r="B336" s="60">
        <v>220932320</v>
      </c>
      <c r="C336" s="60" t="s">
        <v>939</v>
      </c>
      <c r="D336" s="60">
        <v>7.36</v>
      </c>
      <c r="E336" s="60">
        <v>9881407270</v>
      </c>
      <c r="F336" s="60" t="s">
        <v>940</v>
      </c>
      <c r="G336" s="60" t="s">
        <v>289</v>
      </c>
      <c r="H336" s="60" t="s">
        <v>149</v>
      </c>
      <c r="I336" s="60" t="s">
        <v>20</v>
      </c>
      <c r="J336" s="60">
        <v>1000000</v>
      </c>
      <c r="K336" s="60">
        <v>30000</v>
      </c>
    </row>
    <row r="337" spans="1:11" ht="30" customHeight="1" x14ac:dyDescent="0.25">
      <c r="A337" s="60">
        <v>336</v>
      </c>
      <c r="B337" s="159">
        <v>220909278</v>
      </c>
      <c r="C337" s="159" t="s">
        <v>941</v>
      </c>
      <c r="D337" s="160">
        <v>7.02</v>
      </c>
      <c r="E337" s="159">
        <v>8861554195</v>
      </c>
      <c r="F337" s="159" t="s">
        <v>942</v>
      </c>
      <c r="G337" s="159" t="s">
        <v>312</v>
      </c>
      <c r="H337" s="60" t="s">
        <v>943</v>
      </c>
      <c r="I337" s="60" t="s">
        <v>19</v>
      </c>
      <c r="J337" s="60">
        <v>800000</v>
      </c>
      <c r="K337" s="60"/>
    </row>
    <row r="338" spans="1:11" ht="30" customHeight="1" x14ac:dyDescent="0.25">
      <c r="A338" s="60">
        <v>337</v>
      </c>
      <c r="B338" s="60">
        <v>220953626</v>
      </c>
      <c r="C338" s="60" t="s">
        <v>944</v>
      </c>
      <c r="D338" s="60">
        <v>7.58</v>
      </c>
      <c r="E338" s="60">
        <v>9673994185</v>
      </c>
      <c r="F338" s="60" t="s">
        <v>945</v>
      </c>
      <c r="G338" s="60" t="s">
        <v>261</v>
      </c>
      <c r="H338" s="60" t="s">
        <v>154</v>
      </c>
      <c r="I338" s="60" t="s">
        <v>20</v>
      </c>
      <c r="J338" s="60">
        <v>1500000</v>
      </c>
      <c r="K338" s="60">
        <v>40000</v>
      </c>
    </row>
    <row r="339" spans="1:11" ht="30" customHeight="1" x14ac:dyDescent="0.25">
      <c r="A339" s="60">
        <v>338</v>
      </c>
      <c r="B339" s="60">
        <v>220911338</v>
      </c>
      <c r="C339" s="60" t="s">
        <v>946</v>
      </c>
      <c r="D339" s="60">
        <v>7.22</v>
      </c>
      <c r="E339" s="60">
        <v>6377763354</v>
      </c>
      <c r="F339" s="60" t="s">
        <v>947</v>
      </c>
      <c r="G339" s="60" t="s">
        <v>274</v>
      </c>
      <c r="H339" s="60" t="s">
        <v>154</v>
      </c>
      <c r="I339" s="60" t="s">
        <v>20</v>
      </c>
      <c r="J339" s="60">
        <v>1500000</v>
      </c>
      <c r="K339" s="60">
        <v>40000</v>
      </c>
    </row>
    <row r="340" spans="1:11" ht="30" customHeight="1" x14ac:dyDescent="0.25">
      <c r="A340" s="60">
        <v>339</v>
      </c>
      <c r="B340" s="60">
        <v>220909180</v>
      </c>
      <c r="C340" s="60" t="s">
        <v>948</v>
      </c>
      <c r="D340" s="60">
        <v>7.23</v>
      </c>
      <c r="E340" s="60">
        <v>9199024067</v>
      </c>
      <c r="F340" s="60" t="s">
        <v>949</v>
      </c>
      <c r="G340" s="60" t="s">
        <v>312</v>
      </c>
      <c r="H340" s="60" t="s">
        <v>154</v>
      </c>
      <c r="I340" s="60" t="s">
        <v>20</v>
      </c>
      <c r="J340" s="60">
        <v>1500000</v>
      </c>
      <c r="K340" s="60">
        <v>40000</v>
      </c>
    </row>
    <row r="341" spans="1:11" ht="30" customHeight="1" x14ac:dyDescent="0.25">
      <c r="A341" s="60">
        <v>340</v>
      </c>
      <c r="B341" s="60">
        <v>220906310</v>
      </c>
      <c r="C341" s="60" t="s">
        <v>950</v>
      </c>
      <c r="D341" s="60">
        <v>7.67</v>
      </c>
      <c r="E341" s="60">
        <v>7291961477</v>
      </c>
      <c r="F341" s="60" t="s">
        <v>951</v>
      </c>
      <c r="G341" s="60" t="s">
        <v>478</v>
      </c>
      <c r="H341" s="60" t="s">
        <v>154</v>
      </c>
      <c r="I341" s="60" t="s">
        <v>20</v>
      </c>
      <c r="J341" s="60">
        <v>1500000</v>
      </c>
      <c r="K341" s="60">
        <v>40000</v>
      </c>
    </row>
    <row r="342" spans="1:11" ht="30" customHeight="1" x14ac:dyDescent="0.25">
      <c r="A342" s="60">
        <v>341</v>
      </c>
      <c r="B342" s="60">
        <v>220962262</v>
      </c>
      <c r="C342" s="60" t="s">
        <v>952</v>
      </c>
      <c r="D342" s="60">
        <v>8.17</v>
      </c>
      <c r="E342" s="60">
        <v>8951144617</v>
      </c>
      <c r="F342" s="60" t="s">
        <v>953</v>
      </c>
      <c r="G342" s="60" t="s">
        <v>253</v>
      </c>
      <c r="H342" s="60" t="s">
        <v>156</v>
      </c>
      <c r="I342" s="60" t="s">
        <v>20</v>
      </c>
      <c r="J342" s="60">
        <v>982054</v>
      </c>
      <c r="K342" s="60">
        <v>60000</v>
      </c>
    </row>
    <row r="343" spans="1:11" ht="30" customHeight="1" x14ac:dyDescent="0.25">
      <c r="A343" s="60">
        <v>342</v>
      </c>
      <c r="B343" s="60">
        <v>220962430</v>
      </c>
      <c r="C343" s="60" t="s">
        <v>954</v>
      </c>
      <c r="D343" s="60">
        <v>7.11</v>
      </c>
      <c r="E343" s="60">
        <v>8604542123</v>
      </c>
      <c r="F343" s="60" t="s">
        <v>955</v>
      </c>
      <c r="G343" s="60" t="s">
        <v>253</v>
      </c>
      <c r="H343" s="60" t="s">
        <v>156</v>
      </c>
      <c r="I343" s="60" t="s">
        <v>20</v>
      </c>
      <c r="J343" s="60">
        <v>982054</v>
      </c>
      <c r="K343" s="60">
        <v>60000</v>
      </c>
    </row>
    <row r="344" spans="1:11" ht="30" customHeight="1" x14ac:dyDescent="0.25">
      <c r="A344" s="60">
        <v>343</v>
      </c>
      <c r="B344" s="60">
        <v>220906486</v>
      </c>
      <c r="C344" s="60" t="s">
        <v>956</v>
      </c>
      <c r="D344" s="60">
        <v>6.16</v>
      </c>
      <c r="E344" s="60">
        <v>7386468969</v>
      </c>
      <c r="F344" s="60" t="s">
        <v>957</v>
      </c>
      <c r="G344" s="60" t="s">
        <v>478</v>
      </c>
      <c r="H344" s="60" t="s">
        <v>158</v>
      </c>
      <c r="I344" s="60" t="s">
        <v>20</v>
      </c>
      <c r="J344" s="60">
        <v>500000</v>
      </c>
      <c r="K344" s="60">
        <v>20000</v>
      </c>
    </row>
    <row r="345" spans="1:11" ht="30" customHeight="1" x14ac:dyDescent="0.25">
      <c r="A345" s="60">
        <v>344</v>
      </c>
      <c r="B345" s="60">
        <v>220911292</v>
      </c>
      <c r="C345" s="60" t="s">
        <v>958</v>
      </c>
      <c r="D345" s="60">
        <v>7.35</v>
      </c>
      <c r="E345" s="60">
        <v>7524047566</v>
      </c>
      <c r="F345" s="60" t="s">
        <v>959</v>
      </c>
      <c r="G345" s="60" t="s">
        <v>274</v>
      </c>
      <c r="H345" s="60" t="s">
        <v>158</v>
      </c>
      <c r="I345" s="60" t="s">
        <v>20</v>
      </c>
      <c r="J345" s="60">
        <v>500000</v>
      </c>
      <c r="K345" s="60">
        <v>20000</v>
      </c>
    </row>
    <row r="346" spans="1:11" ht="30" customHeight="1" x14ac:dyDescent="0.25">
      <c r="A346" s="60">
        <v>345</v>
      </c>
      <c r="B346" s="60">
        <v>220929018</v>
      </c>
      <c r="C346" s="60" t="s">
        <v>960</v>
      </c>
      <c r="D346" s="60">
        <v>6.92</v>
      </c>
      <c r="E346" s="60">
        <v>7902706463</v>
      </c>
      <c r="F346" s="60" t="s">
        <v>961</v>
      </c>
      <c r="G346" s="60" t="s">
        <v>317</v>
      </c>
      <c r="H346" s="60" t="s">
        <v>158</v>
      </c>
      <c r="I346" s="60" t="s">
        <v>20</v>
      </c>
      <c r="J346" s="60">
        <v>500000</v>
      </c>
      <c r="K346" s="60">
        <v>20000</v>
      </c>
    </row>
    <row r="347" spans="1:11" ht="30" customHeight="1" x14ac:dyDescent="0.25">
      <c r="A347" s="60">
        <v>346</v>
      </c>
      <c r="B347" s="60">
        <v>220924152</v>
      </c>
      <c r="C347" s="60" t="s">
        <v>962</v>
      </c>
      <c r="D347" s="60">
        <v>7.76</v>
      </c>
      <c r="E347" s="60">
        <v>7908706534</v>
      </c>
      <c r="F347" s="60" t="s">
        <v>963</v>
      </c>
      <c r="G347" s="60" t="s">
        <v>964</v>
      </c>
      <c r="H347" s="60" t="s">
        <v>155</v>
      </c>
      <c r="I347" s="60" t="s">
        <v>20</v>
      </c>
      <c r="J347" s="60">
        <v>600000</v>
      </c>
      <c r="K347" s="60">
        <v>20000</v>
      </c>
    </row>
    <row r="348" spans="1:11" ht="30" customHeight="1" x14ac:dyDescent="0.25">
      <c r="A348" s="60">
        <v>347</v>
      </c>
      <c r="B348" s="60">
        <v>220953606</v>
      </c>
      <c r="C348" s="60" t="s">
        <v>965</v>
      </c>
      <c r="D348" s="60">
        <v>6.62</v>
      </c>
      <c r="E348" s="60">
        <v>9650084214</v>
      </c>
      <c r="F348" s="60" t="s">
        <v>966</v>
      </c>
      <c r="G348" s="60" t="s">
        <v>261</v>
      </c>
      <c r="H348" s="60" t="s">
        <v>155</v>
      </c>
      <c r="I348" s="60" t="s">
        <v>20</v>
      </c>
      <c r="J348" s="60">
        <v>600000</v>
      </c>
      <c r="K348" s="60">
        <v>20000</v>
      </c>
    </row>
    <row r="349" spans="1:11" ht="30" customHeight="1" x14ac:dyDescent="0.25">
      <c r="A349" s="60">
        <v>348</v>
      </c>
      <c r="B349" s="60">
        <v>220905172</v>
      </c>
      <c r="C349" s="60" t="s">
        <v>967</v>
      </c>
      <c r="D349" s="60">
        <v>6.69</v>
      </c>
      <c r="E349" s="60">
        <v>7635968591</v>
      </c>
      <c r="F349" s="60" t="s">
        <v>968</v>
      </c>
      <c r="G349" s="60" t="s">
        <v>256</v>
      </c>
      <c r="H349" s="60" t="s">
        <v>155</v>
      </c>
      <c r="I349" s="60" t="s">
        <v>20</v>
      </c>
      <c r="J349" s="60">
        <v>600000</v>
      </c>
      <c r="K349" s="60">
        <v>20000</v>
      </c>
    </row>
    <row r="350" spans="1:11" ht="30" customHeight="1" x14ac:dyDescent="0.25">
      <c r="A350" s="60">
        <v>349</v>
      </c>
      <c r="B350" s="60">
        <v>220905468</v>
      </c>
      <c r="C350" s="60" t="s">
        <v>969</v>
      </c>
      <c r="D350" s="60">
        <v>6.56</v>
      </c>
      <c r="E350" s="60">
        <v>9573100429</v>
      </c>
      <c r="F350" s="60" t="s">
        <v>970</v>
      </c>
      <c r="G350" s="60" t="s">
        <v>256</v>
      </c>
      <c r="H350" s="60" t="s">
        <v>155</v>
      </c>
      <c r="I350" s="60" t="s">
        <v>20</v>
      </c>
      <c r="J350" s="60">
        <v>600000</v>
      </c>
      <c r="K350" s="60">
        <v>20000</v>
      </c>
    </row>
    <row r="351" spans="1:11" ht="30" customHeight="1" x14ac:dyDescent="0.25">
      <c r="A351" s="60">
        <v>350</v>
      </c>
      <c r="B351" s="60">
        <v>220962036</v>
      </c>
      <c r="C351" s="60" t="s">
        <v>971</v>
      </c>
      <c r="D351" s="60">
        <v>7.8</v>
      </c>
      <c r="E351" s="60">
        <v>8250156442</v>
      </c>
      <c r="F351" s="60" t="s">
        <v>972</v>
      </c>
      <c r="G351" s="60" t="s">
        <v>253</v>
      </c>
      <c r="H351" s="60" t="s">
        <v>155</v>
      </c>
      <c r="I351" s="60" t="s">
        <v>20</v>
      </c>
      <c r="J351" s="60">
        <v>600000</v>
      </c>
      <c r="K351" s="60">
        <v>20000</v>
      </c>
    </row>
    <row r="352" spans="1:11" ht="30" customHeight="1" x14ac:dyDescent="0.25">
      <c r="A352" s="60">
        <v>351</v>
      </c>
      <c r="B352" s="60">
        <v>220962006</v>
      </c>
      <c r="C352" s="60" t="s">
        <v>973</v>
      </c>
      <c r="D352" s="60">
        <v>6.93</v>
      </c>
      <c r="E352" s="60">
        <v>9108774952</v>
      </c>
      <c r="F352" s="60" t="s">
        <v>974</v>
      </c>
      <c r="G352" s="60" t="s">
        <v>253</v>
      </c>
      <c r="H352" s="60" t="s">
        <v>155</v>
      </c>
      <c r="I352" s="60" t="s">
        <v>20</v>
      </c>
      <c r="J352" s="60">
        <v>600000</v>
      </c>
      <c r="K352" s="60">
        <v>20000</v>
      </c>
    </row>
    <row r="353" spans="1:11" ht="30" customHeight="1" x14ac:dyDescent="0.25">
      <c r="A353" s="60">
        <v>352</v>
      </c>
      <c r="B353" s="60">
        <v>220968264</v>
      </c>
      <c r="C353" s="60" t="s">
        <v>975</v>
      </c>
      <c r="D353" s="60">
        <v>6.34</v>
      </c>
      <c r="E353" s="60">
        <v>9949466277</v>
      </c>
      <c r="F353" s="60" t="s">
        <v>976</v>
      </c>
      <c r="G353" s="60" t="s">
        <v>384</v>
      </c>
      <c r="H353" s="60" t="s">
        <v>155</v>
      </c>
      <c r="I353" s="60" t="s">
        <v>20</v>
      </c>
      <c r="J353" s="60">
        <v>600000</v>
      </c>
      <c r="K353" s="60">
        <v>20000</v>
      </c>
    </row>
    <row r="354" spans="1:11" ht="30" customHeight="1" x14ac:dyDescent="0.25">
      <c r="A354" s="60">
        <v>353</v>
      </c>
      <c r="B354" s="60">
        <v>220961022</v>
      </c>
      <c r="C354" s="60" t="s">
        <v>977</v>
      </c>
      <c r="D354" s="60">
        <v>7</v>
      </c>
      <c r="E354" s="60">
        <v>9866693336</v>
      </c>
      <c r="F354" s="60" t="s">
        <v>978</v>
      </c>
      <c r="G354" s="60" t="s">
        <v>541</v>
      </c>
      <c r="H354" s="60" t="s">
        <v>155</v>
      </c>
      <c r="I354" s="60" t="s">
        <v>20</v>
      </c>
      <c r="J354" s="60">
        <v>600000</v>
      </c>
      <c r="K354" s="60">
        <v>20000</v>
      </c>
    </row>
    <row r="355" spans="1:11" ht="30" customHeight="1" x14ac:dyDescent="0.25">
      <c r="A355" s="60">
        <v>354</v>
      </c>
      <c r="B355" s="60">
        <v>220961180</v>
      </c>
      <c r="C355" s="60" t="s">
        <v>979</v>
      </c>
      <c r="D355" s="60">
        <v>7.28</v>
      </c>
      <c r="E355" s="60">
        <v>9353878764</v>
      </c>
      <c r="F355" s="60" t="s">
        <v>980</v>
      </c>
      <c r="G355" s="60" t="s">
        <v>541</v>
      </c>
      <c r="H355" s="60" t="s">
        <v>155</v>
      </c>
      <c r="I355" s="60" t="s">
        <v>20</v>
      </c>
      <c r="J355" s="60">
        <v>600000</v>
      </c>
      <c r="K355" s="60">
        <v>20000</v>
      </c>
    </row>
    <row r="356" spans="1:11" ht="30" customHeight="1" x14ac:dyDescent="0.25">
      <c r="A356" s="60">
        <v>355</v>
      </c>
      <c r="B356" s="60">
        <v>220906484</v>
      </c>
      <c r="C356" s="60" t="s">
        <v>981</v>
      </c>
      <c r="D356" s="60">
        <v>7.26</v>
      </c>
      <c r="E356" s="60">
        <v>9321112587</v>
      </c>
      <c r="F356" s="60" t="s">
        <v>982</v>
      </c>
      <c r="G356" s="60" t="s">
        <v>478</v>
      </c>
      <c r="H356" s="60" t="s">
        <v>155</v>
      </c>
      <c r="I356" s="60" t="s">
        <v>20</v>
      </c>
      <c r="J356" s="60">
        <v>600000</v>
      </c>
      <c r="K356" s="60">
        <v>20000</v>
      </c>
    </row>
    <row r="357" spans="1:11" ht="30" customHeight="1" x14ac:dyDescent="0.25">
      <c r="A357" s="60">
        <v>356</v>
      </c>
      <c r="B357" s="60">
        <v>220907682</v>
      </c>
      <c r="C357" s="60" t="s">
        <v>983</v>
      </c>
      <c r="D357" s="60">
        <v>7.11</v>
      </c>
      <c r="E357" s="60">
        <v>7738497670</v>
      </c>
      <c r="F357" s="60" t="s">
        <v>984</v>
      </c>
      <c r="G357" s="60" t="s">
        <v>277</v>
      </c>
      <c r="H357" s="60" t="s">
        <v>155</v>
      </c>
      <c r="I357" s="60" t="s">
        <v>20</v>
      </c>
      <c r="J357" s="60">
        <v>600000</v>
      </c>
      <c r="K357" s="60">
        <v>20000</v>
      </c>
    </row>
    <row r="358" spans="1:11" ht="30" customHeight="1" x14ac:dyDescent="0.25">
      <c r="A358" s="60">
        <v>357</v>
      </c>
      <c r="B358" s="60">
        <v>220932142</v>
      </c>
      <c r="C358" s="60" t="s">
        <v>985</v>
      </c>
      <c r="D358" s="60">
        <v>6.43</v>
      </c>
      <c r="E358" s="60">
        <v>8296484765</v>
      </c>
      <c r="F358" s="60" t="s">
        <v>986</v>
      </c>
      <c r="G358" s="60" t="s">
        <v>289</v>
      </c>
      <c r="H358" s="60" t="s">
        <v>155</v>
      </c>
      <c r="I358" s="60" t="s">
        <v>20</v>
      </c>
      <c r="J358" s="60">
        <v>600000</v>
      </c>
      <c r="K358" s="60">
        <v>20000</v>
      </c>
    </row>
    <row r="359" spans="1:11" ht="30" customHeight="1" x14ac:dyDescent="0.25">
      <c r="A359" s="60">
        <v>358</v>
      </c>
      <c r="B359" s="60">
        <v>220909406</v>
      </c>
      <c r="C359" s="60" t="s">
        <v>987</v>
      </c>
      <c r="D359" s="60">
        <v>6.74</v>
      </c>
      <c r="E359" s="60">
        <v>9555292222</v>
      </c>
      <c r="F359" s="60" t="s">
        <v>988</v>
      </c>
      <c r="G359" s="60" t="s">
        <v>312</v>
      </c>
      <c r="H359" s="60" t="s">
        <v>155</v>
      </c>
      <c r="I359" s="60" t="s">
        <v>20</v>
      </c>
      <c r="J359" s="60">
        <v>600000</v>
      </c>
      <c r="K359" s="60">
        <v>20000</v>
      </c>
    </row>
    <row r="360" spans="1:11" ht="30" customHeight="1" x14ac:dyDescent="0.25">
      <c r="A360" s="60">
        <v>359</v>
      </c>
      <c r="B360" s="60">
        <v>220909296</v>
      </c>
      <c r="C360" s="60" t="s">
        <v>989</v>
      </c>
      <c r="D360" s="60">
        <v>6.95</v>
      </c>
      <c r="E360" s="60">
        <v>8291098344</v>
      </c>
      <c r="F360" s="60" t="s">
        <v>990</v>
      </c>
      <c r="G360" s="60" t="s">
        <v>312</v>
      </c>
      <c r="H360" s="60" t="s">
        <v>155</v>
      </c>
      <c r="I360" s="60" t="s">
        <v>20</v>
      </c>
      <c r="J360" s="60">
        <v>600000</v>
      </c>
      <c r="K360" s="60">
        <v>20000</v>
      </c>
    </row>
    <row r="361" spans="1:11" ht="30" customHeight="1" x14ac:dyDescent="0.25">
      <c r="A361" s="60">
        <v>360</v>
      </c>
      <c r="B361" s="60">
        <v>220931032</v>
      </c>
      <c r="C361" s="60" t="s">
        <v>991</v>
      </c>
      <c r="D361" s="60">
        <v>7.04</v>
      </c>
      <c r="E361" s="60">
        <v>9019976291</v>
      </c>
      <c r="F361" s="60" t="s">
        <v>992</v>
      </c>
      <c r="G361" s="60" t="s">
        <v>803</v>
      </c>
      <c r="H361" s="60" t="s">
        <v>155</v>
      </c>
      <c r="I361" s="60" t="s">
        <v>20</v>
      </c>
      <c r="J361" s="60">
        <v>600000</v>
      </c>
      <c r="K361" s="60">
        <v>20000</v>
      </c>
    </row>
    <row r="362" spans="1:11" ht="30" customHeight="1" x14ac:dyDescent="0.25">
      <c r="A362" s="60">
        <v>361</v>
      </c>
      <c r="B362" s="60">
        <v>220911057</v>
      </c>
      <c r="C362" s="60" t="s">
        <v>993</v>
      </c>
      <c r="D362" s="60">
        <v>7.27</v>
      </c>
      <c r="E362" s="60">
        <v>7736055578</v>
      </c>
      <c r="F362" s="60" t="s">
        <v>994</v>
      </c>
      <c r="G362" s="60" t="s">
        <v>274</v>
      </c>
      <c r="H362" s="60" t="s">
        <v>155</v>
      </c>
      <c r="I362" s="60" t="s">
        <v>20</v>
      </c>
      <c r="J362" s="60">
        <v>600000</v>
      </c>
      <c r="K362" s="60">
        <v>20000</v>
      </c>
    </row>
    <row r="363" spans="1:11" ht="30" customHeight="1" x14ac:dyDescent="0.25">
      <c r="A363" s="60">
        <v>362</v>
      </c>
      <c r="B363" s="60">
        <v>220905010</v>
      </c>
      <c r="C363" s="60" t="s">
        <v>995</v>
      </c>
      <c r="D363" s="60">
        <v>8.9600000000000009</v>
      </c>
      <c r="E363" s="60">
        <v>7975158323</v>
      </c>
      <c r="F363" s="60" t="s">
        <v>996</v>
      </c>
      <c r="G363" s="60" t="s">
        <v>256</v>
      </c>
      <c r="H363" s="60" t="s">
        <v>161</v>
      </c>
      <c r="I363" s="60" t="s">
        <v>20</v>
      </c>
      <c r="J363" s="60">
        <v>1305000</v>
      </c>
      <c r="K363" s="60">
        <v>25000</v>
      </c>
    </row>
    <row r="364" spans="1:11" ht="30" customHeight="1" x14ac:dyDescent="0.25">
      <c r="A364" s="60">
        <v>363</v>
      </c>
      <c r="B364" s="60">
        <v>220905492</v>
      </c>
      <c r="C364" s="60" t="s">
        <v>997</v>
      </c>
      <c r="D364" s="60">
        <v>8.31</v>
      </c>
      <c r="E364" s="60">
        <v>8299276354</v>
      </c>
      <c r="F364" s="60" t="s">
        <v>998</v>
      </c>
      <c r="G364" s="60" t="s">
        <v>256</v>
      </c>
      <c r="H364" s="60" t="s">
        <v>161</v>
      </c>
      <c r="I364" s="60" t="s">
        <v>20</v>
      </c>
      <c r="J364" s="60">
        <v>1305000</v>
      </c>
      <c r="K364" s="60">
        <v>25000</v>
      </c>
    </row>
    <row r="365" spans="1:11" ht="30" customHeight="1" x14ac:dyDescent="0.25">
      <c r="A365" s="60">
        <v>364</v>
      </c>
      <c r="B365" s="60">
        <v>220905196</v>
      </c>
      <c r="C365" s="60" t="s">
        <v>999</v>
      </c>
      <c r="D365" s="60">
        <v>8.26</v>
      </c>
      <c r="E365" s="60">
        <v>6294773940</v>
      </c>
      <c r="F365" s="60" t="s">
        <v>1000</v>
      </c>
      <c r="G365" s="60" t="s">
        <v>256</v>
      </c>
      <c r="H365" s="60" t="s">
        <v>161</v>
      </c>
      <c r="I365" s="60" t="s">
        <v>20</v>
      </c>
      <c r="J365" s="60">
        <v>1305000</v>
      </c>
      <c r="K365" s="60">
        <v>25000</v>
      </c>
    </row>
    <row r="366" spans="1:11" ht="30" customHeight="1" x14ac:dyDescent="0.25">
      <c r="A366" s="60">
        <v>365</v>
      </c>
      <c r="B366" s="60">
        <v>220905108</v>
      </c>
      <c r="C366" s="60" t="s">
        <v>1001</v>
      </c>
      <c r="D366" s="60">
        <v>8.26</v>
      </c>
      <c r="E366" s="60">
        <v>7631228941</v>
      </c>
      <c r="F366" s="60" t="s">
        <v>1002</v>
      </c>
      <c r="G366" s="60" t="s">
        <v>256</v>
      </c>
      <c r="H366" s="60" t="s">
        <v>161</v>
      </c>
      <c r="I366" s="60" t="s">
        <v>20</v>
      </c>
      <c r="J366" s="60">
        <v>1305000</v>
      </c>
      <c r="K366" s="60">
        <v>25000</v>
      </c>
    </row>
    <row r="367" spans="1:11" ht="30" customHeight="1" x14ac:dyDescent="0.25">
      <c r="A367" s="60">
        <v>366</v>
      </c>
      <c r="B367" s="60">
        <v>220905536</v>
      </c>
      <c r="C367" s="60" t="s">
        <v>1003</v>
      </c>
      <c r="D367" s="60">
        <v>8.15</v>
      </c>
      <c r="E367" s="60">
        <v>7411865844</v>
      </c>
      <c r="F367" s="60" t="s">
        <v>1004</v>
      </c>
      <c r="G367" s="60" t="s">
        <v>256</v>
      </c>
      <c r="H367" s="60" t="s">
        <v>161</v>
      </c>
      <c r="I367" s="60" t="s">
        <v>20</v>
      </c>
      <c r="J367" s="60">
        <v>1305000</v>
      </c>
      <c r="K367" s="60">
        <v>25000</v>
      </c>
    </row>
    <row r="368" spans="1:11" ht="30" customHeight="1" x14ac:dyDescent="0.25">
      <c r="A368" s="60">
        <v>367</v>
      </c>
      <c r="B368" s="60">
        <v>220968432</v>
      </c>
      <c r="C368" s="60" t="s">
        <v>1005</v>
      </c>
      <c r="D368" s="60">
        <v>7.97</v>
      </c>
      <c r="E368" s="60">
        <v>6382391945</v>
      </c>
      <c r="F368" s="60" t="s">
        <v>1006</v>
      </c>
      <c r="G368" s="60" t="s">
        <v>384</v>
      </c>
      <c r="H368" s="60" t="s">
        <v>161</v>
      </c>
      <c r="I368" s="60" t="s">
        <v>20</v>
      </c>
      <c r="J368" s="60">
        <v>1305000</v>
      </c>
      <c r="K368" s="60">
        <v>25000</v>
      </c>
    </row>
    <row r="369" spans="1:11" ht="30" customHeight="1" x14ac:dyDescent="0.25">
      <c r="A369" s="60">
        <v>368</v>
      </c>
      <c r="B369" s="60">
        <v>220953096</v>
      </c>
      <c r="C369" s="60" t="s">
        <v>1007</v>
      </c>
      <c r="D369" s="60">
        <v>8.98</v>
      </c>
      <c r="E369" s="60">
        <v>6361952325</v>
      </c>
      <c r="F369" s="60" t="s">
        <v>1008</v>
      </c>
      <c r="G369" s="60" t="s">
        <v>261</v>
      </c>
      <c r="H369" s="60" t="s">
        <v>162</v>
      </c>
      <c r="I369" s="60" t="s">
        <v>19</v>
      </c>
      <c r="J369" s="60">
        <v>1254568</v>
      </c>
      <c r="K369" s="60"/>
    </row>
    <row r="370" spans="1:11" ht="30" customHeight="1" x14ac:dyDescent="0.25">
      <c r="A370" s="60">
        <v>369</v>
      </c>
      <c r="B370" s="60">
        <v>220953580</v>
      </c>
      <c r="C370" s="60" t="s">
        <v>1009</v>
      </c>
      <c r="D370" s="60">
        <v>8.1300000000000008</v>
      </c>
      <c r="E370" s="60">
        <v>7972074045</v>
      </c>
      <c r="F370" s="60" t="s">
        <v>1010</v>
      </c>
      <c r="G370" s="60" t="s">
        <v>261</v>
      </c>
      <c r="H370" s="60" t="s">
        <v>162</v>
      </c>
      <c r="I370" s="60" t="s">
        <v>19</v>
      </c>
      <c r="J370" s="60">
        <v>1254568</v>
      </c>
      <c r="K370" s="60"/>
    </row>
    <row r="371" spans="1:11" ht="30" customHeight="1" x14ac:dyDescent="0.25">
      <c r="A371" s="60">
        <v>370</v>
      </c>
      <c r="B371" s="60">
        <v>220905237</v>
      </c>
      <c r="C371" s="60" t="s">
        <v>1011</v>
      </c>
      <c r="D371" s="60">
        <v>8.64</v>
      </c>
      <c r="E371" s="60">
        <v>9061052571</v>
      </c>
      <c r="F371" s="60" t="s">
        <v>1012</v>
      </c>
      <c r="G371" s="60" t="s">
        <v>256</v>
      </c>
      <c r="H371" s="60" t="s">
        <v>162</v>
      </c>
      <c r="I371" s="60" t="s">
        <v>19</v>
      </c>
      <c r="J371" s="60">
        <v>1254568</v>
      </c>
      <c r="K371" s="60"/>
    </row>
    <row r="372" spans="1:11" ht="30" customHeight="1" x14ac:dyDescent="0.25">
      <c r="A372" s="60">
        <v>371</v>
      </c>
      <c r="B372" s="60">
        <v>220968122</v>
      </c>
      <c r="C372" s="60" t="s">
        <v>1013</v>
      </c>
      <c r="D372" s="60">
        <v>8.76</v>
      </c>
      <c r="E372" s="60">
        <v>8277761190</v>
      </c>
      <c r="F372" s="60" t="s">
        <v>1014</v>
      </c>
      <c r="G372" s="60" t="s">
        <v>384</v>
      </c>
      <c r="H372" s="60" t="s">
        <v>162</v>
      </c>
      <c r="I372" s="60" t="s">
        <v>19</v>
      </c>
      <c r="J372" s="60">
        <v>1254568</v>
      </c>
      <c r="K372" s="60"/>
    </row>
    <row r="373" spans="1:11" ht="30" customHeight="1" x14ac:dyDescent="0.25">
      <c r="A373" s="60">
        <v>372</v>
      </c>
      <c r="B373" s="60">
        <v>220911526</v>
      </c>
      <c r="C373" s="60" t="s">
        <v>1015</v>
      </c>
      <c r="D373" s="60">
        <v>8.69</v>
      </c>
      <c r="E373" s="60">
        <v>9354596573</v>
      </c>
      <c r="F373" s="60" t="s">
        <v>1016</v>
      </c>
      <c r="G373" s="60" t="s">
        <v>274</v>
      </c>
      <c r="H373" s="60" t="s">
        <v>162</v>
      </c>
      <c r="I373" s="60" t="s">
        <v>19</v>
      </c>
      <c r="J373" s="60">
        <v>1254568</v>
      </c>
      <c r="K373" s="60"/>
    </row>
    <row r="374" spans="1:11" ht="30" customHeight="1" x14ac:dyDescent="0.25">
      <c r="A374" s="60">
        <v>373</v>
      </c>
      <c r="B374" s="60">
        <v>220911010</v>
      </c>
      <c r="C374" s="60" t="s">
        <v>1017</v>
      </c>
      <c r="D374" s="60">
        <v>8.51</v>
      </c>
      <c r="E374" s="60">
        <v>8660804771</v>
      </c>
      <c r="F374" s="60" t="s">
        <v>1018</v>
      </c>
      <c r="G374" s="60" t="s">
        <v>274</v>
      </c>
      <c r="H374" s="60" t="s">
        <v>162</v>
      </c>
      <c r="I374" s="60" t="s">
        <v>19</v>
      </c>
      <c r="J374" s="60">
        <v>1254568</v>
      </c>
      <c r="K374" s="60"/>
    </row>
    <row r="375" spans="1:11" ht="30" customHeight="1" x14ac:dyDescent="0.25">
      <c r="A375" s="60">
        <v>374</v>
      </c>
      <c r="B375" s="60">
        <v>220911518</v>
      </c>
      <c r="C375" s="60" t="s">
        <v>1019</v>
      </c>
      <c r="D375" s="60">
        <v>7.69</v>
      </c>
      <c r="E375" s="60">
        <v>8296767981</v>
      </c>
      <c r="F375" s="60" t="s">
        <v>1020</v>
      </c>
      <c r="G375" s="60" t="s">
        <v>274</v>
      </c>
      <c r="H375" s="60" t="s">
        <v>162</v>
      </c>
      <c r="I375" s="60" t="s">
        <v>19</v>
      </c>
      <c r="J375" s="60">
        <v>1254568</v>
      </c>
      <c r="K375" s="60"/>
    </row>
    <row r="376" spans="1:11" ht="30" customHeight="1" x14ac:dyDescent="0.25">
      <c r="A376" s="60">
        <v>375</v>
      </c>
      <c r="B376" s="60">
        <v>220911566</v>
      </c>
      <c r="C376" s="60" t="s">
        <v>1021</v>
      </c>
      <c r="D376" s="60">
        <v>7.6</v>
      </c>
      <c r="E376" s="60">
        <v>9830341202</v>
      </c>
      <c r="F376" s="60" t="s">
        <v>1022</v>
      </c>
      <c r="G376" s="60" t="s">
        <v>274</v>
      </c>
      <c r="H376" s="60" t="s">
        <v>162</v>
      </c>
      <c r="I376" s="60" t="s">
        <v>19</v>
      </c>
      <c r="J376" s="60">
        <v>1254568</v>
      </c>
      <c r="K376" s="60"/>
    </row>
    <row r="377" spans="1:11" ht="30" customHeight="1" x14ac:dyDescent="0.25">
      <c r="A377" s="60">
        <v>376</v>
      </c>
      <c r="B377" s="60">
        <v>220962001</v>
      </c>
      <c r="C377" s="60" t="s">
        <v>1023</v>
      </c>
      <c r="D377" s="60">
        <v>7.02</v>
      </c>
      <c r="E377" s="60">
        <v>7259742412</v>
      </c>
      <c r="F377" s="60" t="s">
        <v>1024</v>
      </c>
      <c r="G377" s="60" t="s">
        <v>253</v>
      </c>
      <c r="H377" s="60" t="s">
        <v>163</v>
      </c>
      <c r="I377" s="60" t="s">
        <v>20</v>
      </c>
      <c r="J377" s="60">
        <v>800000</v>
      </c>
      <c r="K377" s="60">
        <v>25000</v>
      </c>
    </row>
    <row r="378" spans="1:11" ht="30" customHeight="1" x14ac:dyDescent="0.25">
      <c r="A378" s="60">
        <v>377</v>
      </c>
      <c r="B378" s="60">
        <v>220962230</v>
      </c>
      <c r="C378" s="60" t="s">
        <v>1025</v>
      </c>
      <c r="D378" s="60">
        <v>8.16</v>
      </c>
      <c r="E378" s="60">
        <v>8125510574</v>
      </c>
      <c r="F378" s="60" t="s">
        <v>1026</v>
      </c>
      <c r="G378" s="60" t="s">
        <v>253</v>
      </c>
      <c r="H378" s="60" t="s">
        <v>163</v>
      </c>
      <c r="I378" s="60" t="s">
        <v>20</v>
      </c>
      <c r="J378" s="60">
        <v>800000</v>
      </c>
      <c r="K378" s="60">
        <v>25000</v>
      </c>
    </row>
    <row r="379" spans="1:11" ht="30" customHeight="1" x14ac:dyDescent="0.25">
      <c r="A379" s="60">
        <v>378</v>
      </c>
      <c r="B379" s="60">
        <v>220962041</v>
      </c>
      <c r="C379" s="60" t="s">
        <v>1027</v>
      </c>
      <c r="D379" s="60">
        <v>7.55</v>
      </c>
      <c r="E379" s="60">
        <v>7458949669</v>
      </c>
      <c r="F379" s="60" t="s">
        <v>1028</v>
      </c>
      <c r="G379" s="60" t="s">
        <v>253</v>
      </c>
      <c r="H379" s="60" t="s">
        <v>163</v>
      </c>
      <c r="I379" s="60" t="s">
        <v>20</v>
      </c>
      <c r="J379" s="60">
        <v>800000</v>
      </c>
      <c r="K379" s="60">
        <v>25000</v>
      </c>
    </row>
    <row r="380" spans="1:11" ht="30" customHeight="1" x14ac:dyDescent="0.25">
      <c r="A380" s="60">
        <v>379</v>
      </c>
      <c r="B380" s="60">
        <v>220968166</v>
      </c>
      <c r="C380" s="60" t="s">
        <v>1029</v>
      </c>
      <c r="D380" s="60">
        <v>7.28</v>
      </c>
      <c r="E380" s="60">
        <v>8591865071</v>
      </c>
      <c r="F380" s="60" t="s">
        <v>1030</v>
      </c>
      <c r="G380" s="60" t="s">
        <v>384</v>
      </c>
      <c r="H380" s="60" t="s">
        <v>163</v>
      </c>
      <c r="I380" s="60" t="s">
        <v>20</v>
      </c>
      <c r="J380" s="60">
        <v>800000</v>
      </c>
      <c r="K380" s="60">
        <v>25000</v>
      </c>
    </row>
    <row r="381" spans="1:11" ht="30" customHeight="1" x14ac:dyDescent="0.25">
      <c r="A381" s="60">
        <v>380</v>
      </c>
      <c r="B381" s="60">
        <v>220968376</v>
      </c>
      <c r="C381" s="60" t="s">
        <v>1031</v>
      </c>
      <c r="D381" s="60">
        <v>7.89</v>
      </c>
      <c r="E381" s="60">
        <v>8299313154</v>
      </c>
      <c r="F381" s="60" t="s">
        <v>1032</v>
      </c>
      <c r="G381" s="60" t="s">
        <v>384</v>
      </c>
      <c r="H381" s="60" t="s">
        <v>163</v>
      </c>
      <c r="I381" s="60" t="s">
        <v>20</v>
      </c>
      <c r="J381" s="60">
        <v>800000</v>
      </c>
      <c r="K381" s="60">
        <v>25000</v>
      </c>
    </row>
    <row r="382" spans="1:11" ht="30" customHeight="1" x14ac:dyDescent="0.25">
      <c r="A382" s="60">
        <v>381</v>
      </c>
      <c r="B382" s="60">
        <v>220911066</v>
      </c>
      <c r="C382" s="60" t="s">
        <v>1033</v>
      </c>
      <c r="D382" s="60">
        <v>7.61</v>
      </c>
      <c r="E382" s="60">
        <v>6355159092</v>
      </c>
      <c r="F382" s="60" t="s">
        <v>1034</v>
      </c>
      <c r="G382" s="60" t="s">
        <v>274</v>
      </c>
      <c r="H382" s="60" t="s">
        <v>163</v>
      </c>
      <c r="I382" s="60" t="s">
        <v>20</v>
      </c>
      <c r="J382" s="60">
        <v>800000</v>
      </c>
      <c r="K382" s="60">
        <v>25000</v>
      </c>
    </row>
    <row r="383" spans="1:11" ht="30" customHeight="1" x14ac:dyDescent="0.25">
      <c r="A383" s="60">
        <v>382</v>
      </c>
      <c r="B383" s="60">
        <v>220911004</v>
      </c>
      <c r="C383" s="60" t="s">
        <v>1035</v>
      </c>
      <c r="D383" s="60">
        <v>7.98</v>
      </c>
      <c r="E383" s="60">
        <v>7975657058</v>
      </c>
      <c r="F383" s="60" t="s">
        <v>1036</v>
      </c>
      <c r="G383" s="60" t="s">
        <v>274</v>
      </c>
      <c r="H383" s="60" t="s">
        <v>163</v>
      </c>
      <c r="I383" s="60" t="s">
        <v>20</v>
      </c>
      <c r="J383" s="60">
        <v>800000</v>
      </c>
      <c r="K383" s="60">
        <v>25000</v>
      </c>
    </row>
    <row r="384" spans="1:11" ht="30" customHeight="1" x14ac:dyDescent="0.25">
      <c r="A384" s="60">
        <v>383</v>
      </c>
      <c r="B384" s="159">
        <v>220962400</v>
      </c>
      <c r="C384" s="159" t="s">
        <v>1037</v>
      </c>
      <c r="D384" s="159">
        <v>9.1999999999999993</v>
      </c>
      <c r="E384" s="159">
        <v>9777674386</v>
      </c>
      <c r="F384" s="159" t="s">
        <v>1038</v>
      </c>
      <c r="G384" s="159" t="s">
        <v>253</v>
      </c>
      <c r="H384" s="60" t="s">
        <v>167</v>
      </c>
      <c r="I384" s="60" t="s">
        <v>20</v>
      </c>
      <c r="J384" s="60">
        <v>1850000</v>
      </c>
      <c r="K384" s="60">
        <v>100000</v>
      </c>
    </row>
    <row r="385" spans="1:11" ht="30" customHeight="1" x14ac:dyDescent="0.25">
      <c r="A385" s="60">
        <v>384</v>
      </c>
      <c r="B385" s="159">
        <v>220962250</v>
      </c>
      <c r="C385" s="159" t="s">
        <v>765</v>
      </c>
      <c r="D385" s="159">
        <v>8.2799999999999994</v>
      </c>
      <c r="E385" s="159">
        <v>9868176557</v>
      </c>
      <c r="F385" s="159" t="s">
        <v>766</v>
      </c>
      <c r="G385" s="159" t="s">
        <v>253</v>
      </c>
      <c r="H385" s="60" t="s">
        <v>167</v>
      </c>
      <c r="I385" s="60" t="s">
        <v>20</v>
      </c>
      <c r="J385" s="60">
        <v>1850000</v>
      </c>
      <c r="K385" s="60">
        <v>100000</v>
      </c>
    </row>
    <row r="386" spans="1:11" ht="30" customHeight="1" x14ac:dyDescent="0.25">
      <c r="A386" s="60">
        <v>385</v>
      </c>
      <c r="B386" s="159">
        <v>220968332</v>
      </c>
      <c r="C386" s="159" t="s">
        <v>1039</v>
      </c>
      <c r="D386" s="159">
        <v>8.43</v>
      </c>
      <c r="E386" s="159">
        <v>6307786763</v>
      </c>
      <c r="F386" s="159" t="s">
        <v>1040</v>
      </c>
      <c r="G386" s="159" t="s">
        <v>384</v>
      </c>
      <c r="H386" s="60" t="s">
        <v>167</v>
      </c>
      <c r="I386" s="60" t="s">
        <v>20</v>
      </c>
      <c r="J386" s="60">
        <v>1850000</v>
      </c>
      <c r="K386" s="60">
        <v>100000</v>
      </c>
    </row>
    <row r="387" spans="1:11" ht="30" customHeight="1" x14ac:dyDescent="0.25">
      <c r="A387" s="60">
        <v>386</v>
      </c>
      <c r="B387" s="159">
        <v>220968164</v>
      </c>
      <c r="C387" s="159" t="s">
        <v>1041</v>
      </c>
      <c r="D387" s="159">
        <v>7.78</v>
      </c>
      <c r="E387" s="159">
        <v>8948941779</v>
      </c>
      <c r="F387" s="159" t="s">
        <v>1042</v>
      </c>
      <c r="G387" s="159" t="s">
        <v>384</v>
      </c>
      <c r="H387" s="60" t="s">
        <v>167</v>
      </c>
      <c r="I387" s="60" t="s">
        <v>20</v>
      </c>
      <c r="J387" s="60">
        <v>1850000</v>
      </c>
      <c r="K387" s="60">
        <v>100000</v>
      </c>
    </row>
    <row r="388" spans="1:11" ht="30" customHeight="1" x14ac:dyDescent="0.25">
      <c r="A388" s="60">
        <v>387</v>
      </c>
      <c r="B388" s="159">
        <v>220907842</v>
      </c>
      <c r="C388" s="159" t="s">
        <v>1043</v>
      </c>
      <c r="D388" s="159">
        <v>7.66</v>
      </c>
      <c r="E388" s="159">
        <v>8971124477</v>
      </c>
      <c r="F388" s="159" t="s">
        <v>1044</v>
      </c>
      <c r="G388" s="159" t="s">
        <v>277</v>
      </c>
      <c r="H388" s="60" t="s">
        <v>167</v>
      </c>
      <c r="I388" s="60" t="s">
        <v>20</v>
      </c>
      <c r="J388" s="60">
        <v>1850000</v>
      </c>
      <c r="K388" s="60">
        <v>100000</v>
      </c>
    </row>
    <row r="389" spans="1:11" ht="30" customHeight="1" x14ac:dyDescent="0.25">
      <c r="A389" s="60">
        <v>388</v>
      </c>
      <c r="B389" s="159">
        <v>220909150</v>
      </c>
      <c r="C389" s="159" t="s">
        <v>1045</v>
      </c>
      <c r="D389" s="159">
        <v>8.1</v>
      </c>
      <c r="E389" s="159">
        <v>6361697332</v>
      </c>
      <c r="F389" s="159" t="s">
        <v>1046</v>
      </c>
      <c r="G389" s="159" t="s">
        <v>312</v>
      </c>
      <c r="H389" s="60" t="s">
        <v>167</v>
      </c>
      <c r="I389" s="60" t="s">
        <v>20</v>
      </c>
      <c r="J389" s="60">
        <v>1850000</v>
      </c>
      <c r="K389" s="60">
        <v>100000</v>
      </c>
    </row>
    <row r="390" spans="1:11" ht="30" customHeight="1" x14ac:dyDescent="0.25">
      <c r="A390" s="60">
        <v>389</v>
      </c>
      <c r="B390" s="60">
        <v>220905470</v>
      </c>
      <c r="C390" s="60" t="s">
        <v>1047</v>
      </c>
      <c r="D390" s="60">
        <v>8.25</v>
      </c>
      <c r="E390" s="60">
        <v>8240865928</v>
      </c>
      <c r="F390" s="60" t="s">
        <v>1048</v>
      </c>
      <c r="G390" s="60" t="s">
        <v>256</v>
      </c>
      <c r="H390" s="60" t="s">
        <v>1049</v>
      </c>
      <c r="I390" s="60" t="s">
        <v>19</v>
      </c>
      <c r="J390" s="60">
        <v>1200000</v>
      </c>
      <c r="K390" s="60"/>
    </row>
    <row r="391" spans="1:11" ht="30" customHeight="1" x14ac:dyDescent="0.25">
      <c r="A391" s="60">
        <v>390</v>
      </c>
      <c r="B391" s="60">
        <v>220962004</v>
      </c>
      <c r="C391" s="60" t="s">
        <v>1050</v>
      </c>
      <c r="D391" s="60">
        <v>7.24</v>
      </c>
      <c r="E391" s="60">
        <v>9113860149</v>
      </c>
      <c r="F391" s="60" t="s">
        <v>1051</v>
      </c>
      <c r="G391" s="60" t="s">
        <v>253</v>
      </c>
      <c r="H391" s="60" t="s">
        <v>1049</v>
      </c>
      <c r="I391" s="60" t="s">
        <v>19</v>
      </c>
      <c r="J391" s="60">
        <v>1200000</v>
      </c>
      <c r="K391" s="60"/>
    </row>
    <row r="392" spans="1:11" ht="30" customHeight="1" x14ac:dyDescent="0.25">
      <c r="A392" s="60">
        <v>391</v>
      </c>
      <c r="B392" s="60">
        <v>220911556</v>
      </c>
      <c r="C392" s="60" t="s">
        <v>1052</v>
      </c>
      <c r="D392" s="60">
        <v>9.06</v>
      </c>
      <c r="E392" s="60">
        <v>9820410811</v>
      </c>
      <c r="F392" s="60" t="s">
        <v>1053</v>
      </c>
      <c r="G392" s="60" t="s">
        <v>274</v>
      </c>
      <c r="H392" s="60" t="s">
        <v>1049</v>
      </c>
      <c r="I392" s="60" t="s">
        <v>19</v>
      </c>
      <c r="J392" s="60">
        <v>1200000</v>
      </c>
      <c r="K392" s="60"/>
    </row>
    <row r="393" spans="1:11" ht="30" customHeight="1" x14ac:dyDescent="0.25">
      <c r="A393" s="60">
        <v>392</v>
      </c>
      <c r="B393" s="60">
        <v>220953034</v>
      </c>
      <c r="C393" s="60" t="s">
        <v>1054</v>
      </c>
      <c r="D393" s="60">
        <v>7.05</v>
      </c>
      <c r="E393" s="60">
        <v>7338127908</v>
      </c>
      <c r="F393" s="60" t="s">
        <v>1055</v>
      </c>
      <c r="G393" s="60" t="s">
        <v>261</v>
      </c>
      <c r="H393" s="60" t="s">
        <v>1056</v>
      </c>
      <c r="I393" s="60" t="s">
        <v>19</v>
      </c>
      <c r="J393" s="60">
        <v>1000000</v>
      </c>
      <c r="K393" s="60"/>
    </row>
    <row r="394" spans="1:11" ht="30" customHeight="1" x14ac:dyDescent="0.25">
      <c r="A394" s="60">
        <v>393</v>
      </c>
      <c r="B394" s="60">
        <v>220961098</v>
      </c>
      <c r="C394" s="60" t="s">
        <v>1057</v>
      </c>
      <c r="D394" s="60">
        <v>6.92</v>
      </c>
      <c r="E394" s="60">
        <v>9113283566</v>
      </c>
      <c r="F394" s="60" t="s">
        <v>1058</v>
      </c>
      <c r="G394" s="60" t="s">
        <v>541</v>
      </c>
      <c r="H394" s="60" t="s">
        <v>1056</v>
      </c>
      <c r="I394" s="60" t="s">
        <v>19</v>
      </c>
      <c r="J394" s="60">
        <v>1000000</v>
      </c>
      <c r="K394" s="60"/>
    </row>
    <row r="395" spans="1:11" ht="30" customHeight="1" x14ac:dyDescent="0.25">
      <c r="A395" s="60">
        <v>394</v>
      </c>
      <c r="B395" s="60">
        <v>220911130</v>
      </c>
      <c r="C395" s="60" t="s">
        <v>1059</v>
      </c>
      <c r="D395" s="60">
        <v>8.7899999999999991</v>
      </c>
      <c r="E395" s="60">
        <v>9155178714</v>
      </c>
      <c r="F395" s="60" t="s">
        <v>1060</v>
      </c>
      <c r="G395" s="60" t="s">
        <v>274</v>
      </c>
      <c r="H395" s="60" t="s">
        <v>1056</v>
      </c>
      <c r="I395" s="60" t="s">
        <v>19</v>
      </c>
      <c r="J395" s="60">
        <v>1000000</v>
      </c>
      <c r="K395" s="60"/>
    </row>
    <row r="396" spans="1:11" ht="30" customHeight="1" x14ac:dyDescent="0.25">
      <c r="A396" s="60">
        <v>395</v>
      </c>
      <c r="B396" s="60">
        <v>220911562</v>
      </c>
      <c r="C396" s="60" t="s">
        <v>1061</v>
      </c>
      <c r="D396" s="60">
        <v>8.11</v>
      </c>
      <c r="E396" s="60">
        <v>9079781213</v>
      </c>
      <c r="F396" s="60" t="s">
        <v>1062</v>
      </c>
      <c r="G396" s="60" t="s">
        <v>274</v>
      </c>
      <c r="H396" s="60" t="s">
        <v>1056</v>
      </c>
      <c r="I396" s="60" t="s">
        <v>19</v>
      </c>
      <c r="J396" s="60">
        <v>1000000</v>
      </c>
      <c r="K396" s="60"/>
    </row>
    <row r="397" spans="1:11" ht="30" customHeight="1" x14ac:dyDescent="0.25">
      <c r="A397" s="60">
        <v>396</v>
      </c>
      <c r="B397" s="60">
        <v>220953132</v>
      </c>
      <c r="C397" s="60" t="s">
        <v>1063</v>
      </c>
      <c r="D397" s="60">
        <v>7.66</v>
      </c>
      <c r="E397" s="60">
        <v>7043616116</v>
      </c>
      <c r="F397" s="60" t="s">
        <v>1064</v>
      </c>
      <c r="G397" s="60" t="s">
        <v>261</v>
      </c>
      <c r="H397" s="60" t="s">
        <v>1065</v>
      </c>
      <c r="I397" s="60" t="s">
        <v>20</v>
      </c>
      <c r="J397" s="60">
        <v>1440000</v>
      </c>
      <c r="K397" s="60">
        <v>30000</v>
      </c>
    </row>
    <row r="398" spans="1:11" ht="30" customHeight="1" x14ac:dyDescent="0.25">
      <c r="A398" s="60">
        <v>397</v>
      </c>
      <c r="B398" s="60">
        <v>220905512</v>
      </c>
      <c r="C398" s="60" t="s">
        <v>1066</v>
      </c>
      <c r="D398" s="60">
        <v>8.82</v>
      </c>
      <c r="E398" s="60">
        <v>7981858602</v>
      </c>
      <c r="F398" s="60" t="s">
        <v>1067</v>
      </c>
      <c r="G398" s="60" t="s">
        <v>256</v>
      </c>
      <c r="H398" s="60" t="s">
        <v>1065</v>
      </c>
      <c r="I398" s="60" t="s">
        <v>20</v>
      </c>
      <c r="J398" s="60">
        <v>1440000</v>
      </c>
      <c r="K398" s="60">
        <v>30000</v>
      </c>
    </row>
    <row r="399" spans="1:11" ht="30" customHeight="1" x14ac:dyDescent="0.25">
      <c r="A399" s="60">
        <v>398</v>
      </c>
      <c r="B399" s="60">
        <v>220905091</v>
      </c>
      <c r="C399" s="60" t="s">
        <v>1068</v>
      </c>
      <c r="D399" s="60">
        <v>8.39</v>
      </c>
      <c r="E399" s="60">
        <v>9538186951</v>
      </c>
      <c r="F399" s="60" t="s">
        <v>1069</v>
      </c>
      <c r="G399" s="60" t="s">
        <v>256</v>
      </c>
      <c r="H399" s="60" t="s">
        <v>1065</v>
      </c>
      <c r="I399" s="60" t="s">
        <v>20</v>
      </c>
      <c r="J399" s="60">
        <v>1440000</v>
      </c>
      <c r="K399" s="60">
        <v>30000</v>
      </c>
    </row>
    <row r="400" spans="1:11" ht="30" customHeight="1" x14ac:dyDescent="0.25">
      <c r="A400" s="60">
        <v>399</v>
      </c>
      <c r="B400" s="60">
        <v>220911656</v>
      </c>
      <c r="C400" s="60" t="s">
        <v>1070</v>
      </c>
      <c r="D400" s="60">
        <v>7.64</v>
      </c>
      <c r="E400" s="60">
        <v>9971124203</v>
      </c>
      <c r="F400" s="60" t="s">
        <v>1071</v>
      </c>
      <c r="G400" s="60" t="s">
        <v>274</v>
      </c>
      <c r="H400" s="60" t="s">
        <v>1065</v>
      </c>
      <c r="I400" s="60" t="s">
        <v>20</v>
      </c>
      <c r="J400" s="60">
        <v>1440000</v>
      </c>
      <c r="K400" s="60">
        <v>30000</v>
      </c>
    </row>
    <row r="401" spans="1:11" ht="30" customHeight="1" x14ac:dyDescent="0.25">
      <c r="A401" s="60">
        <v>400</v>
      </c>
      <c r="B401" s="60">
        <v>220905003</v>
      </c>
      <c r="C401" s="60" t="s">
        <v>1072</v>
      </c>
      <c r="D401" s="60">
        <v>7.6</v>
      </c>
      <c r="E401" s="60">
        <v>9515906860</v>
      </c>
      <c r="F401" s="60" t="s">
        <v>1073</v>
      </c>
      <c r="G401" s="60" t="s">
        <v>256</v>
      </c>
      <c r="H401" s="60" t="s">
        <v>1065</v>
      </c>
      <c r="I401" s="60" t="s">
        <v>20</v>
      </c>
      <c r="J401" s="60">
        <v>1440000</v>
      </c>
      <c r="K401" s="60">
        <v>30000</v>
      </c>
    </row>
    <row r="402" spans="1:11" ht="30" customHeight="1" x14ac:dyDescent="0.25">
      <c r="A402" s="60">
        <v>401</v>
      </c>
      <c r="B402" s="60">
        <v>220906254</v>
      </c>
      <c r="C402" s="60" t="s">
        <v>1074</v>
      </c>
      <c r="D402" s="60">
        <v>8.2100000000000009</v>
      </c>
      <c r="E402" s="60">
        <v>8095969497</v>
      </c>
      <c r="F402" s="60" t="s">
        <v>1075</v>
      </c>
      <c r="G402" s="60" t="s">
        <v>478</v>
      </c>
      <c r="H402" s="60" t="s">
        <v>170</v>
      </c>
      <c r="I402" s="60" t="s">
        <v>20</v>
      </c>
      <c r="J402" s="60">
        <v>950000</v>
      </c>
      <c r="K402" s="60">
        <v>30000</v>
      </c>
    </row>
    <row r="403" spans="1:11" ht="30" customHeight="1" x14ac:dyDescent="0.25">
      <c r="A403" s="60">
        <v>402</v>
      </c>
      <c r="B403" s="60">
        <v>220905014</v>
      </c>
      <c r="C403" s="60" t="s">
        <v>1076</v>
      </c>
      <c r="D403" s="60">
        <v>8.69</v>
      </c>
      <c r="E403" s="60">
        <v>9611388525</v>
      </c>
      <c r="F403" s="60" t="s">
        <v>1077</v>
      </c>
      <c r="G403" s="60" t="s">
        <v>256</v>
      </c>
      <c r="H403" s="60" t="s">
        <v>172</v>
      </c>
      <c r="I403" s="60" t="s">
        <v>19</v>
      </c>
      <c r="J403" s="60">
        <v>850000</v>
      </c>
      <c r="K403" s="60"/>
    </row>
    <row r="404" spans="1:11" ht="30" customHeight="1" x14ac:dyDescent="0.25">
      <c r="A404" s="60">
        <v>403</v>
      </c>
      <c r="B404" s="60">
        <v>220905020</v>
      </c>
      <c r="C404" s="60" t="s">
        <v>1078</v>
      </c>
      <c r="D404" s="60">
        <v>8.0299999999999994</v>
      </c>
      <c r="E404" s="60">
        <v>9108727229</v>
      </c>
      <c r="F404" s="60" t="s">
        <v>1079</v>
      </c>
      <c r="G404" s="60" t="s">
        <v>256</v>
      </c>
      <c r="H404" s="60" t="s">
        <v>172</v>
      </c>
      <c r="I404" s="60" t="s">
        <v>19</v>
      </c>
      <c r="J404" s="60">
        <v>850000</v>
      </c>
      <c r="K404" s="60"/>
    </row>
    <row r="405" spans="1:11" ht="30" customHeight="1" x14ac:dyDescent="0.25">
      <c r="A405" s="60">
        <v>404</v>
      </c>
      <c r="B405" s="60">
        <v>220968016</v>
      </c>
      <c r="C405" s="60" t="s">
        <v>1080</v>
      </c>
      <c r="D405" s="60">
        <v>8.17</v>
      </c>
      <c r="E405" s="60">
        <v>9652286833</v>
      </c>
      <c r="F405" s="60" t="s">
        <v>1081</v>
      </c>
      <c r="G405" s="60" t="s">
        <v>384</v>
      </c>
      <c r="H405" s="60" t="s">
        <v>172</v>
      </c>
      <c r="I405" s="60" t="s">
        <v>19</v>
      </c>
      <c r="J405" s="60">
        <v>850000</v>
      </c>
      <c r="K405" s="60"/>
    </row>
    <row r="406" spans="1:11" ht="30" customHeight="1" x14ac:dyDescent="0.25">
      <c r="A406" s="60">
        <v>405</v>
      </c>
      <c r="B406" s="60">
        <v>220968328</v>
      </c>
      <c r="C406" s="60" t="s">
        <v>1082</v>
      </c>
      <c r="D406" s="60">
        <v>7.86</v>
      </c>
      <c r="E406" s="60">
        <v>6364573444</v>
      </c>
      <c r="F406" s="60" t="s">
        <v>1083</v>
      </c>
      <c r="G406" s="60" t="s">
        <v>384</v>
      </c>
      <c r="H406" s="60" t="s">
        <v>172</v>
      </c>
      <c r="I406" s="60" t="s">
        <v>19</v>
      </c>
      <c r="J406" s="60">
        <v>850000</v>
      </c>
      <c r="K406" s="60"/>
    </row>
    <row r="407" spans="1:11" ht="30" customHeight="1" x14ac:dyDescent="0.25">
      <c r="A407" s="60">
        <v>406</v>
      </c>
      <c r="B407" s="60">
        <v>220911674</v>
      </c>
      <c r="C407" s="60" t="s">
        <v>1084</v>
      </c>
      <c r="D407" s="60">
        <v>8.31</v>
      </c>
      <c r="E407" s="60">
        <v>9560323235</v>
      </c>
      <c r="F407" s="60" t="s">
        <v>1085</v>
      </c>
      <c r="G407" s="60" t="s">
        <v>274</v>
      </c>
      <c r="H407" s="60" t="s">
        <v>172</v>
      </c>
      <c r="I407" s="60" t="s">
        <v>19</v>
      </c>
      <c r="J407" s="60">
        <v>850000</v>
      </c>
      <c r="K407" s="60"/>
    </row>
    <row r="408" spans="1:11" ht="30" customHeight="1" x14ac:dyDescent="0.25">
      <c r="A408" s="60">
        <v>407</v>
      </c>
      <c r="B408" s="60">
        <v>220911596</v>
      </c>
      <c r="C408" s="60" t="s">
        <v>1086</v>
      </c>
      <c r="D408" s="60">
        <v>7.52</v>
      </c>
      <c r="E408" s="60">
        <v>9819909563</v>
      </c>
      <c r="F408" s="60" t="s">
        <v>1087</v>
      </c>
      <c r="G408" s="60" t="s">
        <v>274</v>
      </c>
      <c r="H408" s="60" t="s">
        <v>172</v>
      </c>
      <c r="I408" s="60" t="s">
        <v>19</v>
      </c>
      <c r="J408" s="60">
        <v>850000</v>
      </c>
      <c r="K408" s="60"/>
    </row>
    <row r="409" spans="1:11" ht="30" customHeight="1" x14ac:dyDescent="0.25">
      <c r="A409" s="60">
        <v>408</v>
      </c>
      <c r="B409" s="60">
        <v>220905087</v>
      </c>
      <c r="C409" s="60" t="s">
        <v>1088</v>
      </c>
      <c r="D409" s="60">
        <v>8.64</v>
      </c>
      <c r="E409" s="60">
        <v>6205590392</v>
      </c>
      <c r="F409" s="60" t="s">
        <v>1089</v>
      </c>
      <c r="G409" s="60" t="s">
        <v>256</v>
      </c>
      <c r="H409" s="60" t="s">
        <v>173</v>
      </c>
      <c r="I409" s="60" t="s">
        <v>20</v>
      </c>
      <c r="J409" s="60">
        <v>1300000</v>
      </c>
      <c r="K409" s="60">
        <v>15000</v>
      </c>
    </row>
    <row r="410" spans="1:11" ht="30" customHeight="1" x14ac:dyDescent="0.25">
      <c r="A410" s="60">
        <v>409</v>
      </c>
      <c r="B410" s="60">
        <v>220905190</v>
      </c>
      <c r="C410" s="60" t="s">
        <v>1090</v>
      </c>
      <c r="D410" s="60">
        <v>7.61</v>
      </c>
      <c r="E410" s="60">
        <v>7757023442</v>
      </c>
      <c r="F410" s="60" t="s">
        <v>1091</v>
      </c>
      <c r="G410" s="60" t="s">
        <v>256</v>
      </c>
      <c r="H410" s="60" t="s">
        <v>173</v>
      </c>
      <c r="I410" s="60" t="s">
        <v>20</v>
      </c>
      <c r="J410" s="60">
        <v>1300000</v>
      </c>
      <c r="K410" s="60">
        <v>15000</v>
      </c>
    </row>
    <row r="411" spans="1:11" ht="30" customHeight="1" x14ac:dyDescent="0.25">
      <c r="A411" s="60">
        <v>410</v>
      </c>
      <c r="B411" s="60">
        <v>220962286</v>
      </c>
      <c r="C411" s="60" t="s">
        <v>1092</v>
      </c>
      <c r="D411" s="60">
        <v>7.55</v>
      </c>
      <c r="E411" s="60">
        <v>9122951493</v>
      </c>
      <c r="F411" s="60" t="s">
        <v>1093</v>
      </c>
      <c r="G411" s="60" t="s">
        <v>253</v>
      </c>
      <c r="H411" s="60" t="s">
        <v>173</v>
      </c>
      <c r="I411" s="60" t="s">
        <v>20</v>
      </c>
      <c r="J411" s="60">
        <v>1300000</v>
      </c>
      <c r="K411" s="60">
        <v>15000</v>
      </c>
    </row>
    <row r="412" spans="1:11" ht="30" customHeight="1" x14ac:dyDescent="0.25">
      <c r="A412" s="60">
        <v>411</v>
      </c>
      <c r="B412" s="60">
        <v>220968344</v>
      </c>
      <c r="C412" s="60" t="s">
        <v>1094</v>
      </c>
      <c r="D412" s="60">
        <v>8.3000000000000007</v>
      </c>
      <c r="E412" s="60">
        <v>9845525030</v>
      </c>
      <c r="F412" s="60" t="s">
        <v>1095</v>
      </c>
      <c r="G412" s="60" t="s">
        <v>384</v>
      </c>
      <c r="H412" s="60" t="s">
        <v>173</v>
      </c>
      <c r="I412" s="60" t="s">
        <v>20</v>
      </c>
      <c r="J412" s="60">
        <v>1300000</v>
      </c>
      <c r="K412" s="60">
        <v>15000</v>
      </c>
    </row>
    <row r="413" spans="1:11" ht="30" customHeight="1" x14ac:dyDescent="0.25">
      <c r="A413" s="60">
        <v>412</v>
      </c>
      <c r="B413" s="60">
        <v>220962370</v>
      </c>
      <c r="C413" s="60" t="s">
        <v>1096</v>
      </c>
      <c r="D413" s="60">
        <v>8.02</v>
      </c>
      <c r="E413" s="60">
        <v>8809081347</v>
      </c>
      <c r="F413" s="60" t="s">
        <v>1097</v>
      </c>
      <c r="G413" s="60" t="s">
        <v>253</v>
      </c>
      <c r="H413" s="60" t="s">
        <v>174</v>
      </c>
      <c r="I413" s="60" t="s">
        <v>20</v>
      </c>
      <c r="J413" s="60">
        <v>900000</v>
      </c>
      <c r="K413" s="60">
        <v>21500</v>
      </c>
    </row>
    <row r="414" spans="1:11" ht="30" customHeight="1" x14ac:dyDescent="0.25">
      <c r="A414" s="60">
        <v>413</v>
      </c>
      <c r="B414" s="60">
        <v>220909146</v>
      </c>
      <c r="C414" s="60" t="s">
        <v>1098</v>
      </c>
      <c r="D414" s="60">
        <v>8.4</v>
      </c>
      <c r="E414" s="60">
        <v>9982245034</v>
      </c>
      <c r="F414" s="60" t="s">
        <v>1099</v>
      </c>
      <c r="G414" s="60" t="s">
        <v>312</v>
      </c>
      <c r="H414" s="60" t="s">
        <v>174</v>
      </c>
      <c r="I414" s="60" t="s">
        <v>20</v>
      </c>
      <c r="J414" s="60">
        <v>900000</v>
      </c>
      <c r="K414" s="60">
        <v>21500</v>
      </c>
    </row>
    <row r="415" spans="1:11" ht="30" customHeight="1" x14ac:dyDescent="0.25">
      <c r="A415" s="60">
        <v>414</v>
      </c>
      <c r="B415" s="60">
        <v>220929072</v>
      </c>
      <c r="C415" s="60" t="s">
        <v>1100</v>
      </c>
      <c r="D415" s="60">
        <v>8.1999999999999993</v>
      </c>
      <c r="E415" s="60">
        <v>9999180539</v>
      </c>
      <c r="F415" s="60" t="s">
        <v>1101</v>
      </c>
      <c r="G415" s="60" t="s">
        <v>317</v>
      </c>
      <c r="H415" s="60" t="s">
        <v>174</v>
      </c>
      <c r="I415" s="60" t="s">
        <v>20</v>
      </c>
      <c r="J415" s="60">
        <v>900000</v>
      </c>
      <c r="K415" s="60">
        <v>21500</v>
      </c>
    </row>
    <row r="416" spans="1:11" ht="30" customHeight="1" x14ac:dyDescent="0.25">
      <c r="A416" s="60">
        <v>415</v>
      </c>
      <c r="B416" s="60">
        <v>220924068</v>
      </c>
      <c r="C416" s="60" t="s">
        <v>1102</v>
      </c>
      <c r="D416" s="60">
        <v>7.6</v>
      </c>
      <c r="E416" s="60">
        <v>9518350546</v>
      </c>
      <c r="F416" s="60" t="s">
        <v>1103</v>
      </c>
      <c r="G416" s="60" t="s">
        <v>964</v>
      </c>
      <c r="H416" s="60" t="s">
        <v>174</v>
      </c>
      <c r="I416" s="60" t="s">
        <v>20</v>
      </c>
      <c r="J416" s="60">
        <v>900000</v>
      </c>
      <c r="K416" s="60">
        <v>21500</v>
      </c>
    </row>
    <row r="417" spans="1:11" ht="30" customHeight="1" x14ac:dyDescent="0.25">
      <c r="A417" s="60">
        <v>416</v>
      </c>
      <c r="B417" s="60">
        <v>220953104</v>
      </c>
      <c r="C417" s="60" t="s">
        <v>1104</v>
      </c>
      <c r="D417" s="60">
        <v>9.1300000000000008</v>
      </c>
      <c r="E417" s="60">
        <v>9313497393</v>
      </c>
      <c r="F417" s="60" t="s">
        <v>1105</v>
      </c>
      <c r="G417" s="60" t="s">
        <v>261</v>
      </c>
      <c r="H417" s="60" t="s">
        <v>175</v>
      </c>
      <c r="I417" s="60" t="s">
        <v>19</v>
      </c>
      <c r="J417" s="60">
        <v>2136442</v>
      </c>
      <c r="K417" s="60"/>
    </row>
    <row r="418" spans="1:11" ht="30" customHeight="1" x14ac:dyDescent="0.25">
      <c r="A418" s="60">
        <v>417</v>
      </c>
      <c r="B418" s="60">
        <v>220905554</v>
      </c>
      <c r="C418" s="60" t="s">
        <v>1106</v>
      </c>
      <c r="D418" s="60">
        <v>9.74</v>
      </c>
      <c r="E418" s="60">
        <v>8143981008</v>
      </c>
      <c r="F418" s="60" t="s">
        <v>1107</v>
      </c>
      <c r="G418" s="60" t="s">
        <v>256</v>
      </c>
      <c r="H418" s="60" t="s">
        <v>175</v>
      </c>
      <c r="I418" s="60" t="s">
        <v>19</v>
      </c>
      <c r="J418" s="60">
        <v>2136442</v>
      </c>
      <c r="K418" s="60"/>
    </row>
    <row r="419" spans="1:11" ht="30" customHeight="1" x14ac:dyDescent="0.25">
      <c r="A419" s="60">
        <v>418</v>
      </c>
      <c r="B419" s="60">
        <v>220905298</v>
      </c>
      <c r="C419" s="60" t="s">
        <v>1108</v>
      </c>
      <c r="D419" s="60">
        <v>9.4</v>
      </c>
      <c r="E419" s="60">
        <v>9632663822</v>
      </c>
      <c r="F419" s="60" t="s">
        <v>1109</v>
      </c>
      <c r="G419" s="60" t="s">
        <v>256</v>
      </c>
      <c r="H419" s="60" t="s">
        <v>175</v>
      </c>
      <c r="I419" s="60" t="s">
        <v>19</v>
      </c>
      <c r="J419" s="60">
        <v>2136442</v>
      </c>
      <c r="K419" s="60"/>
    </row>
    <row r="420" spans="1:11" ht="30" customHeight="1" x14ac:dyDescent="0.25">
      <c r="A420" s="60">
        <v>419</v>
      </c>
      <c r="B420" s="60">
        <v>220962032</v>
      </c>
      <c r="C420" s="60" t="s">
        <v>1110</v>
      </c>
      <c r="D420" s="60">
        <v>8.5</v>
      </c>
      <c r="E420" s="60">
        <v>9874013802</v>
      </c>
      <c r="F420" s="60" t="s">
        <v>1111</v>
      </c>
      <c r="G420" s="60" t="s">
        <v>253</v>
      </c>
      <c r="H420" s="60" t="s">
        <v>175</v>
      </c>
      <c r="I420" s="60" t="s">
        <v>19</v>
      </c>
      <c r="J420" s="60">
        <v>2136442</v>
      </c>
      <c r="K420" s="60"/>
    </row>
    <row r="421" spans="1:11" ht="30" customHeight="1" x14ac:dyDescent="0.25">
      <c r="A421" s="60">
        <v>420</v>
      </c>
      <c r="B421" s="60">
        <v>220962426</v>
      </c>
      <c r="C421" s="60" t="s">
        <v>1112</v>
      </c>
      <c r="D421" s="60">
        <v>8.4</v>
      </c>
      <c r="E421" s="60">
        <v>8296504913</v>
      </c>
      <c r="F421" s="60" t="s">
        <v>1113</v>
      </c>
      <c r="G421" s="60" t="s">
        <v>253</v>
      </c>
      <c r="H421" s="60" t="s">
        <v>175</v>
      </c>
      <c r="I421" s="60" t="s">
        <v>19</v>
      </c>
      <c r="J421" s="60">
        <v>2136442</v>
      </c>
      <c r="K421" s="60"/>
    </row>
    <row r="422" spans="1:11" ht="30" customHeight="1" x14ac:dyDescent="0.25">
      <c r="A422" s="60">
        <v>421</v>
      </c>
      <c r="B422" s="60">
        <v>220968015</v>
      </c>
      <c r="C422" s="60" t="s">
        <v>1114</v>
      </c>
      <c r="D422" s="60">
        <v>8.39</v>
      </c>
      <c r="E422" s="60">
        <v>9819742018</v>
      </c>
      <c r="F422" s="60" t="s">
        <v>1115</v>
      </c>
      <c r="G422" s="60" t="s">
        <v>384</v>
      </c>
      <c r="H422" s="60" t="s">
        <v>175</v>
      </c>
      <c r="I422" s="60" t="s">
        <v>19</v>
      </c>
      <c r="J422" s="60">
        <v>2136442</v>
      </c>
      <c r="K422" s="60"/>
    </row>
    <row r="423" spans="1:11" ht="30" customHeight="1" x14ac:dyDescent="0.25">
      <c r="A423" s="60">
        <v>422</v>
      </c>
      <c r="B423" s="60">
        <v>220911080</v>
      </c>
      <c r="C423" s="60" t="s">
        <v>1116</v>
      </c>
      <c r="D423" s="60">
        <v>8.02</v>
      </c>
      <c r="E423" s="60">
        <v>7722069580</v>
      </c>
      <c r="F423" s="60" t="s">
        <v>1117</v>
      </c>
      <c r="G423" s="60" t="s">
        <v>274</v>
      </c>
      <c r="H423" s="60" t="s">
        <v>175</v>
      </c>
      <c r="I423" s="60" t="s">
        <v>19</v>
      </c>
      <c r="J423" s="60">
        <v>2136442</v>
      </c>
      <c r="K423" s="60"/>
    </row>
    <row r="424" spans="1:11" ht="30" customHeight="1" x14ac:dyDescent="0.25">
      <c r="A424" s="60">
        <v>423</v>
      </c>
      <c r="B424" s="60">
        <v>220905406</v>
      </c>
      <c r="C424" s="159" t="s">
        <v>1118</v>
      </c>
      <c r="D424" s="60">
        <v>8.01</v>
      </c>
      <c r="E424" s="60">
        <v>7829422078</v>
      </c>
      <c r="F424" s="60" t="s">
        <v>1119</v>
      </c>
      <c r="G424" s="60" t="s">
        <v>256</v>
      </c>
      <c r="H424" s="60" t="s">
        <v>175</v>
      </c>
      <c r="I424" s="60" t="s">
        <v>19</v>
      </c>
      <c r="J424" s="60">
        <v>2136442</v>
      </c>
      <c r="K424" s="60"/>
    </row>
    <row r="425" spans="1:11" ht="30" customHeight="1" x14ac:dyDescent="0.25">
      <c r="A425" s="60">
        <v>424</v>
      </c>
      <c r="B425" s="159">
        <v>220961164</v>
      </c>
      <c r="C425" s="159" t="s">
        <v>1120</v>
      </c>
      <c r="D425" s="160">
        <v>7.56</v>
      </c>
      <c r="E425" s="159">
        <v>9142134173</v>
      </c>
      <c r="F425" s="159" t="s">
        <v>1121</v>
      </c>
      <c r="G425" s="159" t="s">
        <v>541</v>
      </c>
      <c r="H425" s="60" t="s">
        <v>176</v>
      </c>
      <c r="I425" s="60" t="s">
        <v>19</v>
      </c>
      <c r="J425" s="60">
        <v>1000000</v>
      </c>
      <c r="K425" s="60"/>
    </row>
    <row r="426" spans="1:11" ht="30" customHeight="1" x14ac:dyDescent="0.25">
      <c r="A426" s="60">
        <v>425</v>
      </c>
      <c r="B426" s="159">
        <v>220905243</v>
      </c>
      <c r="C426" s="159" t="s">
        <v>1122</v>
      </c>
      <c r="D426" s="159">
        <v>8.4600000000000009</v>
      </c>
      <c r="E426" s="159">
        <v>8369494982</v>
      </c>
      <c r="F426" s="159" t="s">
        <v>1123</v>
      </c>
      <c r="G426" s="60" t="s">
        <v>256</v>
      </c>
      <c r="H426" s="60" t="s">
        <v>177</v>
      </c>
      <c r="I426" s="60" t="s">
        <v>20</v>
      </c>
      <c r="J426" s="60">
        <v>900000</v>
      </c>
      <c r="K426" s="60"/>
    </row>
    <row r="427" spans="1:11" ht="30" customHeight="1" x14ac:dyDescent="0.25">
      <c r="A427" s="60">
        <v>426</v>
      </c>
      <c r="B427" s="159">
        <v>220911009</v>
      </c>
      <c r="C427" s="159" t="s">
        <v>1124</v>
      </c>
      <c r="D427" s="159">
        <v>8.4600000000000009</v>
      </c>
      <c r="E427" s="159">
        <v>7892980202</v>
      </c>
      <c r="F427" s="159" t="s">
        <v>1125</v>
      </c>
      <c r="G427" s="60" t="s">
        <v>274</v>
      </c>
      <c r="H427" s="60" t="s">
        <v>177</v>
      </c>
      <c r="I427" s="60" t="s">
        <v>20</v>
      </c>
      <c r="J427" s="60">
        <v>900000</v>
      </c>
      <c r="K427" s="60"/>
    </row>
    <row r="428" spans="1:11" ht="30" customHeight="1" x14ac:dyDescent="0.25">
      <c r="A428" s="60">
        <v>427</v>
      </c>
      <c r="B428" s="60">
        <v>220953590</v>
      </c>
      <c r="C428" s="60" t="s">
        <v>1126</v>
      </c>
      <c r="D428" s="60">
        <v>7.88</v>
      </c>
      <c r="E428" s="60">
        <v>8875544125</v>
      </c>
      <c r="F428" s="60" t="s">
        <v>1127</v>
      </c>
      <c r="G428" s="60" t="s">
        <v>261</v>
      </c>
      <c r="H428" s="60" t="s">
        <v>1128</v>
      </c>
      <c r="I428" s="60" t="s">
        <v>20</v>
      </c>
      <c r="J428" s="60">
        <v>1600000</v>
      </c>
      <c r="K428" s="60">
        <v>40000</v>
      </c>
    </row>
    <row r="429" spans="1:11" ht="30" customHeight="1" x14ac:dyDescent="0.25">
      <c r="A429" s="60">
        <v>428</v>
      </c>
      <c r="B429" s="60">
        <v>220953224</v>
      </c>
      <c r="C429" s="60" t="s">
        <v>1129</v>
      </c>
      <c r="D429" s="60">
        <v>7.83</v>
      </c>
      <c r="E429" s="60">
        <v>9769467880</v>
      </c>
      <c r="F429" s="60" t="s">
        <v>1130</v>
      </c>
      <c r="G429" s="60" t="s">
        <v>261</v>
      </c>
      <c r="H429" s="60" t="s">
        <v>1128</v>
      </c>
      <c r="I429" s="60" t="s">
        <v>20</v>
      </c>
      <c r="J429" s="60">
        <v>1600000</v>
      </c>
      <c r="K429" s="60">
        <v>40000</v>
      </c>
    </row>
    <row r="430" spans="1:11" ht="30" customHeight="1" x14ac:dyDescent="0.25">
      <c r="A430" s="60">
        <v>429</v>
      </c>
      <c r="B430" s="60">
        <v>220953656</v>
      </c>
      <c r="C430" s="60" t="s">
        <v>1131</v>
      </c>
      <c r="D430" s="60">
        <v>7.52</v>
      </c>
      <c r="E430" s="60">
        <v>9902170677</v>
      </c>
      <c r="F430" s="60" t="s">
        <v>1132</v>
      </c>
      <c r="G430" s="60" t="s">
        <v>261</v>
      </c>
      <c r="H430" s="60" t="s">
        <v>1128</v>
      </c>
      <c r="I430" s="60" t="s">
        <v>20</v>
      </c>
      <c r="J430" s="60">
        <v>1600000</v>
      </c>
      <c r="K430" s="60">
        <v>40000</v>
      </c>
    </row>
    <row r="431" spans="1:11" ht="30" customHeight="1" x14ac:dyDescent="0.25">
      <c r="A431" s="60">
        <v>430</v>
      </c>
      <c r="B431" s="60">
        <v>220905514</v>
      </c>
      <c r="C431" s="60" t="s">
        <v>1133</v>
      </c>
      <c r="D431" s="60">
        <v>9.14</v>
      </c>
      <c r="E431" s="60">
        <v>7459889138</v>
      </c>
      <c r="F431" s="60" t="s">
        <v>1134</v>
      </c>
      <c r="G431" s="60" t="s">
        <v>256</v>
      </c>
      <c r="H431" s="60" t="s">
        <v>1128</v>
      </c>
      <c r="I431" s="60" t="s">
        <v>20</v>
      </c>
      <c r="J431" s="60">
        <v>1600000</v>
      </c>
      <c r="K431" s="60">
        <v>40000</v>
      </c>
    </row>
    <row r="432" spans="1:11" ht="30" customHeight="1" x14ac:dyDescent="0.25">
      <c r="A432" s="60">
        <v>431</v>
      </c>
      <c r="B432" s="60">
        <v>220911634</v>
      </c>
      <c r="C432" s="60" t="s">
        <v>1135</v>
      </c>
      <c r="D432" s="60">
        <v>7.37</v>
      </c>
      <c r="E432" s="60">
        <v>9908508027</v>
      </c>
      <c r="F432" s="60" t="s">
        <v>1136</v>
      </c>
      <c r="G432" s="60" t="s">
        <v>274</v>
      </c>
      <c r="H432" s="60" t="s">
        <v>1128</v>
      </c>
      <c r="I432" s="60" t="s">
        <v>20</v>
      </c>
      <c r="J432" s="60">
        <v>1600000</v>
      </c>
      <c r="K432" s="60">
        <v>40000</v>
      </c>
    </row>
    <row r="433" spans="1:11" ht="30" customHeight="1" x14ac:dyDescent="0.25">
      <c r="A433" s="60">
        <v>432</v>
      </c>
      <c r="B433" s="60">
        <v>220934068</v>
      </c>
      <c r="C433" s="60" t="s">
        <v>1137</v>
      </c>
      <c r="D433" s="60">
        <v>7.46</v>
      </c>
      <c r="E433" s="60">
        <v>9008694671</v>
      </c>
      <c r="F433" s="60" t="s">
        <v>1138</v>
      </c>
      <c r="G433" s="60" t="s">
        <v>1139</v>
      </c>
      <c r="H433" s="60" t="s">
        <v>179</v>
      </c>
      <c r="I433" s="60" t="s">
        <v>19</v>
      </c>
      <c r="J433" s="60">
        <v>700000</v>
      </c>
      <c r="K433" s="60"/>
    </row>
    <row r="434" spans="1:11" ht="30" customHeight="1" x14ac:dyDescent="0.25">
      <c r="A434" s="60">
        <v>433</v>
      </c>
      <c r="B434" s="60">
        <v>220909152</v>
      </c>
      <c r="C434" s="60" t="s">
        <v>1140</v>
      </c>
      <c r="D434" s="60">
        <v>7.17</v>
      </c>
      <c r="E434" s="60">
        <v>8669108842</v>
      </c>
      <c r="F434" s="60" t="s">
        <v>1141</v>
      </c>
      <c r="G434" s="60" t="s">
        <v>312</v>
      </c>
      <c r="H434" s="60" t="s">
        <v>179</v>
      </c>
      <c r="I434" s="60" t="s">
        <v>19</v>
      </c>
      <c r="J434" s="60">
        <v>700000</v>
      </c>
      <c r="K434" s="60"/>
    </row>
    <row r="435" spans="1:11" ht="30" customHeight="1" x14ac:dyDescent="0.25">
      <c r="A435" s="60">
        <v>434</v>
      </c>
      <c r="B435" s="60">
        <v>220953002</v>
      </c>
      <c r="C435" s="60" t="s">
        <v>1142</v>
      </c>
      <c r="D435" s="60">
        <v>8.4</v>
      </c>
      <c r="E435" s="60">
        <v>9731542111</v>
      </c>
      <c r="F435" s="60" t="s">
        <v>1143</v>
      </c>
      <c r="G435" s="60" t="s">
        <v>261</v>
      </c>
      <c r="H435" s="60" t="s">
        <v>180</v>
      </c>
      <c r="I435" s="60" t="s">
        <v>19</v>
      </c>
      <c r="J435" s="60">
        <v>750000</v>
      </c>
      <c r="K435" s="60"/>
    </row>
    <row r="436" spans="1:11" ht="30" customHeight="1" x14ac:dyDescent="0.25">
      <c r="A436" s="60">
        <v>435</v>
      </c>
      <c r="B436" s="60">
        <v>220911602</v>
      </c>
      <c r="C436" s="60" t="s">
        <v>1144</v>
      </c>
      <c r="D436" s="60">
        <v>7.72</v>
      </c>
      <c r="E436" s="60">
        <v>8793990732</v>
      </c>
      <c r="F436" s="60" t="s">
        <v>1145</v>
      </c>
      <c r="G436" s="60" t="s">
        <v>274</v>
      </c>
      <c r="H436" s="60" t="s">
        <v>180</v>
      </c>
      <c r="I436" s="60" t="s">
        <v>19</v>
      </c>
      <c r="J436" s="60">
        <v>750000</v>
      </c>
      <c r="K436" s="60"/>
    </row>
    <row r="437" spans="1:11" ht="30" customHeight="1" x14ac:dyDescent="0.25">
      <c r="A437" s="60">
        <v>436</v>
      </c>
      <c r="B437" s="60">
        <v>220905424</v>
      </c>
      <c r="C437" s="60" t="s">
        <v>1146</v>
      </c>
      <c r="D437" s="60">
        <v>7.57</v>
      </c>
      <c r="E437" s="60">
        <v>8660075486</v>
      </c>
      <c r="F437" s="60" t="s">
        <v>1147</v>
      </c>
      <c r="G437" s="60" t="s">
        <v>256</v>
      </c>
      <c r="H437" s="60" t="s">
        <v>180</v>
      </c>
      <c r="I437" s="60" t="s">
        <v>20</v>
      </c>
      <c r="J437" s="60">
        <v>750000</v>
      </c>
      <c r="K437" s="60">
        <v>25000</v>
      </c>
    </row>
    <row r="438" spans="1:11" ht="30" customHeight="1" x14ac:dyDescent="0.25">
      <c r="A438" s="60">
        <v>437</v>
      </c>
      <c r="B438" s="60">
        <v>220962019</v>
      </c>
      <c r="C438" s="60" t="s">
        <v>1148</v>
      </c>
      <c r="D438" s="60">
        <v>8.89</v>
      </c>
      <c r="E438" s="60">
        <v>9063363624</v>
      </c>
      <c r="F438" s="60" t="s">
        <v>1149</v>
      </c>
      <c r="G438" s="60" t="s">
        <v>253</v>
      </c>
      <c r="H438" s="60" t="s">
        <v>181</v>
      </c>
      <c r="I438" s="60" t="s">
        <v>20</v>
      </c>
      <c r="J438" s="60">
        <v>919423</v>
      </c>
      <c r="K438" s="60">
        <v>21200</v>
      </c>
    </row>
    <row r="439" spans="1:11" ht="30" customHeight="1" x14ac:dyDescent="0.25">
      <c r="A439" s="60">
        <v>438</v>
      </c>
      <c r="B439" s="60">
        <v>220962258</v>
      </c>
      <c r="C439" s="60" t="s">
        <v>1150</v>
      </c>
      <c r="D439" s="60">
        <v>7.63</v>
      </c>
      <c r="E439" s="60">
        <v>8086484000</v>
      </c>
      <c r="F439" s="60" t="s">
        <v>1151</v>
      </c>
      <c r="G439" s="60" t="s">
        <v>253</v>
      </c>
      <c r="H439" s="60" t="s">
        <v>181</v>
      </c>
      <c r="I439" s="60" t="s">
        <v>20</v>
      </c>
      <c r="J439" s="60">
        <v>919423</v>
      </c>
      <c r="K439" s="60">
        <v>21200</v>
      </c>
    </row>
    <row r="440" spans="1:11" ht="30" customHeight="1" x14ac:dyDescent="0.25">
      <c r="A440" s="60">
        <v>439</v>
      </c>
      <c r="B440" s="60">
        <v>220911676</v>
      </c>
      <c r="C440" s="60" t="s">
        <v>1152</v>
      </c>
      <c r="D440" s="60">
        <v>8.4700000000000006</v>
      </c>
      <c r="E440" s="60">
        <v>8856070929</v>
      </c>
      <c r="F440" s="60" t="s">
        <v>1153</v>
      </c>
      <c r="G440" s="60" t="s">
        <v>274</v>
      </c>
      <c r="H440" s="60" t="s">
        <v>181</v>
      </c>
      <c r="I440" s="60" t="s">
        <v>20</v>
      </c>
      <c r="J440" s="60">
        <v>919423</v>
      </c>
      <c r="K440" s="60">
        <v>21200</v>
      </c>
    </row>
    <row r="441" spans="1:11" ht="30" customHeight="1" x14ac:dyDescent="0.25">
      <c r="A441" s="60">
        <v>440</v>
      </c>
      <c r="B441" s="60">
        <v>220911600</v>
      </c>
      <c r="C441" s="60" t="s">
        <v>1154</v>
      </c>
      <c r="D441" s="60">
        <v>7.71</v>
      </c>
      <c r="E441" s="60">
        <v>9852263263</v>
      </c>
      <c r="F441" s="60" t="s">
        <v>1155</v>
      </c>
      <c r="G441" s="60" t="s">
        <v>274</v>
      </c>
      <c r="H441" s="60" t="s">
        <v>181</v>
      </c>
      <c r="I441" s="60" t="s">
        <v>20</v>
      </c>
      <c r="J441" s="60">
        <v>919423</v>
      </c>
      <c r="K441" s="60">
        <v>21200</v>
      </c>
    </row>
    <row r="442" spans="1:11" ht="30" customHeight="1" x14ac:dyDescent="0.25">
      <c r="A442" s="60">
        <v>441</v>
      </c>
      <c r="B442" s="60">
        <v>220911552</v>
      </c>
      <c r="C442" s="60" t="s">
        <v>1156</v>
      </c>
      <c r="D442" s="60">
        <v>7.68</v>
      </c>
      <c r="E442" s="60">
        <v>8709899734</v>
      </c>
      <c r="F442" s="60" t="s">
        <v>1157</v>
      </c>
      <c r="G442" s="60" t="s">
        <v>274</v>
      </c>
      <c r="H442" s="60" t="s">
        <v>181</v>
      </c>
      <c r="I442" s="60" t="s">
        <v>20</v>
      </c>
      <c r="J442" s="60">
        <v>919423</v>
      </c>
      <c r="K442" s="60">
        <v>21200</v>
      </c>
    </row>
    <row r="443" spans="1:11" ht="30" customHeight="1" x14ac:dyDescent="0.25">
      <c r="A443" s="60">
        <v>442</v>
      </c>
      <c r="B443" s="60">
        <v>220909348</v>
      </c>
      <c r="C443" s="60" t="s">
        <v>1158</v>
      </c>
      <c r="D443" s="60">
        <v>6.68</v>
      </c>
      <c r="E443" s="60">
        <v>8439982427</v>
      </c>
      <c r="F443" s="60" t="s">
        <v>1159</v>
      </c>
      <c r="G443" s="60" t="s">
        <v>312</v>
      </c>
      <c r="H443" s="60" t="s">
        <v>182</v>
      </c>
      <c r="I443" s="60" t="s">
        <v>19</v>
      </c>
      <c r="J443" s="60">
        <v>1160000</v>
      </c>
      <c r="K443" s="60"/>
    </row>
    <row r="444" spans="1:11" ht="30" customHeight="1" x14ac:dyDescent="0.25">
      <c r="A444" s="60">
        <v>443</v>
      </c>
      <c r="B444" s="60">
        <v>220953546</v>
      </c>
      <c r="C444" s="60" t="s">
        <v>1160</v>
      </c>
      <c r="D444" s="60">
        <v>8.2899999999999991</v>
      </c>
      <c r="E444" s="60">
        <v>7742753083</v>
      </c>
      <c r="F444" s="60" t="s">
        <v>1161</v>
      </c>
      <c r="G444" s="60" t="s">
        <v>261</v>
      </c>
      <c r="H444" s="60" t="s">
        <v>183</v>
      </c>
      <c r="I444" s="60" t="s">
        <v>20</v>
      </c>
      <c r="J444" s="60">
        <v>1200000</v>
      </c>
      <c r="K444" s="60">
        <v>30000</v>
      </c>
    </row>
    <row r="445" spans="1:11" ht="30" customHeight="1" x14ac:dyDescent="0.25">
      <c r="A445" s="60">
        <v>444</v>
      </c>
      <c r="B445" s="60">
        <v>220905143</v>
      </c>
      <c r="C445" s="60" t="s">
        <v>1162</v>
      </c>
      <c r="D445" s="60">
        <v>8.32</v>
      </c>
      <c r="E445" s="60">
        <v>7807828611</v>
      </c>
      <c r="F445" s="60" t="s">
        <v>1163</v>
      </c>
      <c r="G445" s="60" t="s">
        <v>256</v>
      </c>
      <c r="H445" s="60" t="s">
        <v>183</v>
      </c>
      <c r="I445" s="60" t="s">
        <v>20</v>
      </c>
      <c r="J445" s="60">
        <v>1200000</v>
      </c>
      <c r="K445" s="60">
        <v>30000</v>
      </c>
    </row>
    <row r="446" spans="1:11" ht="30" customHeight="1" x14ac:dyDescent="0.25">
      <c r="A446" s="60">
        <v>445</v>
      </c>
      <c r="B446" s="60">
        <v>220905038</v>
      </c>
      <c r="C446" s="60" t="s">
        <v>1164</v>
      </c>
      <c r="D446" s="60">
        <v>8.15</v>
      </c>
      <c r="E446" s="60">
        <v>8351026140</v>
      </c>
      <c r="F446" s="60" t="s">
        <v>1165</v>
      </c>
      <c r="G446" s="60" t="s">
        <v>256</v>
      </c>
      <c r="H446" s="60" t="s">
        <v>183</v>
      </c>
      <c r="I446" s="60" t="s">
        <v>20</v>
      </c>
      <c r="J446" s="60">
        <v>1200000</v>
      </c>
      <c r="K446" s="60">
        <v>30000</v>
      </c>
    </row>
    <row r="447" spans="1:11" ht="30" customHeight="1" x14ac:dyDescent="0.25">
      <c r="A447" s="60">
        <v>446</v>
      </c>
      <c r="B447" s="60">
        <v>220905246</v>
      </c>
      <c r="C447" s="60" t="s">
        <v>1166</v>
      </c>
      <c r="D447" s="60">
        <v>7.88</v>
      </c>
      <c r="E447" s="60">
        <v>9052365678</v>
      </c>
      <c r="F447" s="60" t="s">
        <v>1167</v>
      </c>
      <c r="G447" s="60" t="s">
        <v>256</v>
      </c>
      <c r="H447" s="60" t="s">
        <v>183</v>
      </c>
      <c r="I447" s="60" t="s">
        <v>20</v>
      </c>
      <c r="J447" s="60">
        <v>1200000</v>
      </c>
      <c r="K447" s="60">
        <v>30000</v>
      </c>
    </row>
    <row r="448" spans="1:11" ht="30" customHeight="1" x14ac:dyDescent="0.25">
      <c r="A448" s="60">
        <v>447</v>
      </c>
      <c r="B448" s="60">
        <v>220911638</v>
      </c>
      <c r="C448" s="60" t="s">
        <v>1168</v>
      </c>
      <c r="D448" s="60">
        <v>8.69</v>
      </c>
      <c r="E448" s="60">
        <v>8555088799</v>
      </c>
      <c r="F448" s="60" t="s">
        <v>1169</v>
      </c>
      <c r="G448" s="60" t="s">
        <v>274</v>
      </c>
      <c r="H448" s="60" t="s">
        <v>183</v>
      </c>
      <c r="I448" s="60" t="s">
        <v>20</v>
      </c>
      <c r="J448" s="60">
        <v>1200000</v>
      </c>
      <c r="K448" s="60">
        <v>30000</v>
      </c>
    </row>
    <row r="449" spans="1:11" ht="30" customHeight="1" x14ac:dyDescent="0.25">
      <c r="A449" s="60">
        <v>448</v>
      </c>
      <c r="B449" s="60">
        <v>220911378</v>
      </c>
      <c r="C449" s="60" t="s">
        <v>1170</v>
      </c>
      <c r="D449" s="60">
        <v>8.19</v>
      </c>
      <c r="E449" s="60">
        <v>8879954715</v>
      </c>
      <c r="F449" s="60" t="s">
        <v>1171</v>
      </c>
      <c r="G449" s="60" t="s">
        <v>274</v>
      </c>
      <c r="H449" s="60" t="s">
        <v>183</v>
      </c>
      <c r="I449" s="60" t="s">
        <v>20</v>
      </c>
      <c r="J449" s="60">
        <v>1200000</v>
      </c>
      <c r="K449" s="60">
        <v>30000</v>
      </c>
    </row>
    <row r="450" spans="1:11" ht="30" customHeight="1" x14ac:dyDescent="0.25">
      <c r="A450" s="60">
        <v>449</v>
      </c>
      <c r="B450" s="60">
        <v>220953100</v>
      </c>
      <c r="C450" s="60" t="s">
        <v>1172</v>
      </c>
      <c r="D450" s="60">
        <v>8.08</v>
      </c>
      <c r="E450" s="60">
        <v>9513333893</v>
      </c>
      <c r="F450" s="60" t="s">
        <v>1173</v>
      </c>
      <c r="G450" s="60" t="s">
        <v>261</v>
      </c>
      <c r="H450" s="60" t="s">
        <v>123</v>
      </c>
      <c r="I450" s="60" t="s">
        <v>20</v>
      </c>
      <c r="J450" s="60">
        <v>1875000</v>
      </c>
      <c r="K450" s="60">
        <v>30000</v>
      </c>
    </row>
    <row r="451" spans="1:11" ht="30" customHeight="1" x14ac:dyDescent="0.25">
      <c r="A451" s="60">
        <v>450</v>
      </c>
      <c r="B451" s="60">
        <v>220905388</v>
      </c>
      <c r="C451" s="60" t="s">
        <v>1174</v>
      </c>
      <c r="D451" s="60">
        <v>9.34</v>
      </c>
      <c r="E451" s="60">
        <v>8217843289</v>
      </c>
      <c r="F451" s="60" t="s">
        <v>1175</v>
      </c>
      <c r="G451" s="60" t="s">
        <v>256</v>
      </c>
      <c r="H451" s="60" t="s">
        <v>123</v>
      </c>
      <c r="I451" s="60" t="s">
        <v>20</v>
      </c>
      <c r="J451" s="60">
        <v>1875000</v>
      </c>
      <c r="K451" s="60">
        <v>30000</v>
      </c>
    </row>
    <row r="452" spans="1:11" ht="30" customHeight="1" x14ac:dyDescent="0.25">
      <c r="A452" s="60">
        <v>451</v>
      </c>
      <c r="B452" s="60">
        <v>220911276</v>
      </c>
      <c r="C452" s="60" t="s">
        <v>1176</v>
      </c>
      <c r="D452" s="60">
        <v>8.73</v>
      </c>
      <c r="E452" s="60">
        <v>9146742361</v>
      </c>
      <c r="F452" s="60" t="s">
        <v>1177</v>
      </c>
      <c r="G452" s="60" t="s">
        <v>274</v>
      </c>
      <c r="H452" s="60" t="s">
        <v>123</v>
      </c>
      <c r="I452" s="60" t="s">
        <v>20</v>
      </c>
      <c r="J452" s="60">
        <v>1875000</v>
      </c>
      <c r="K452" s="60">
        <v>30000</v>
      </c>
    </row>
    <row r="453" spans="1:11" ht="30" customHeight="1" x14ac:dyDescent="0.25">
      <c r="A453" s="60">
        <v>452</v>
      </c>
      <c r="B453" s="60">
        <v>220911332</v>
      </c>
      <c r="C453" s="60" t="s">
        <v>1178</v>
      </c>
      <c r="D453" s="60">
        <v>8.65</v>
      </c>
      <c r="E453" s="60">
        <v>7019370377</v>
      </c>
      <c r="F453" s="60" t="s">
        <v>1179</v>
      </c>
      <c r="G453" s="60" t="s">
        <v>274</v>
      </c>
      <c r="H453" s="60" t="s">
        <v>123</v>
      </c>
      <c r="I453" s="60" t="s">
        <v>20</v>
      </c>
      <c r="J453" s="60">
        <v>1875000</v>
      </c>
      <c r="K453" s="60">
        <v>30000</v>
      </c>
    </row>
    <row r="454" spans="1:11" ht="30" customHeight="1" x14ac:dyDescent="0.25">
      <c r="A454" s="60">
        <v>453</v>
      </c>
      <c r="B454" s="60">
        <v>220909208</v>
      </c>
      <c r="C454" s="60" t="s">
        <v>1180</v>
      </c>
      <c r="D454" s="60">
        <v>7.5</v>
      </c>
      <c r="E454" s="60">
        <v>9717088852</v>
      </c>
      <c r="F454" s="60" t="s">
        <v>1181</v>
      </c>
      <c r="G454" s="60" t="s">
        <v>312</v>
      </c>
      <c r="H454" s="60" t="s">
        <v>191</v>
      </c>
      <c r="I454" s="60" t="s">
        <v>19</v>
      </c>
      <c r="J454" s="60">
        <v>956000</v>
      </c>
      <c r="K454" s="60"/>
    </row>
    <row r="455" spans="1:11" ht="30" customHeight="1" x14ac:dyDescent="0.25">
      <c r="A455" s="60">
        <v>454</v>
      </c>
      <c r="B455" s="60">
        <v>220909194</v>
      </c>
      <c r="C455" s="60" t="s">
        <v>1182</v>
      </c>
      <c r="D455" s="60">
        <v>7.72</v>
      </c>
      <c r="E455" s="60">
        <v>9311151725</v>
      </c>
      <c r="F455" s="60" t="s">
        <v>1183</v>
      </c>
      <c r="G455" s="60" t="s">
        <v>312</v>
      </c>
      <c r="H455" s="60" t="s">
        <v>191</v>
      </c>
      <c r="I455" s="60" t="s">
        <v>19</v>
      </c>
      <c r="J455" s="60">
        <v>956000</v>
      </c>
      <c r="K455" s="60"/>
    </row>
    <row r="456" spans="1:11" ht="30" customHeight="1" x14ac:dyDescent="0.25">
      <c r="A456" s="60">
        <v>455</v>
      </c>
      <c r="B456" s="60">
        <v>220909288</v>
      </c>
      <c r="C456" s="60" t="s">
        <v>1184</v>
      </c>
      <c r="D456" s="60">
        <v>6.71</v>
      </c>
      <c r="E456" s="60">
        <v>9769438920</v>
      </c>
      <c r="F456" s="60" t="s">
        <v>1185</v>
      </c>
      <c r="G456" s="60" t="s">
        <v>312</v>
      </c>
      <c r="H456" s="60" t="s">
        <v>191</v>
      </c>
      <c r="I456" s="60" t="s">
        <v>19</v>
      </c>
      <c r="J456" s="60">
        <v>956000</v>
      </c>
      <c r="K456" s="60"/>
    </row>
    <row r="457" spans="1:11" ht="30" customHeight="1" x14ac:dyDescent="0.25">
      <c r="A457" s="60">
        <v>456</v>
      </c>
      <c r="B457" s="60">
        <v>220909438</v>
      </c>
      <c r="C457" s="60" t="s">
        <v>1186</v>
      </c>
      <c r="D457" s="60">
        <v>7.09</v>
      </c>
      <c r="E457" s="60">
        <v>8007401414</v>
      </c>
      <c r="F457" s="60" t="s">
        <v>1187</v>
      </c>
      <c r="G457" s="60" t="s">
        <v>312</v>
      </c>
      <c r="H457" s="60" t="s">
        <v>191</v>
      </c>
      <c r="I457" s="60" t="s">
        <v>19</v>
      </c>
      <c r="J457" s="60">
        <v>956000</v>
      </c>
      <c r="K457" s="60"/>
    </row>
    <row r="458" spans="1:11" ht="30" customHeight="1" x14ac:dyDescent="0.25">
      <c r="A458" s="60">
        <v>457</v>
      </c>
      <c r="B458" s="60">
        <v>220909324</v>
      </c>
      <c r="C458" s="60" t="s">
        <v>1188</v>
      </c>
      <c r="D458" s="60">
        <v>7.72</v>
      </c>
      <c r="E458" s="60">
        <v>9594588840</v>
      </c>
      <c r="F458" s="60" t="s">
        <v>1189</v>
      </c>
      <c r="G458" s="60" t="s">
        <v>312</v>
      </c>
      <c r="H458" s="60" t="s">
        <v>191</v>
      </c>
      <c r="I458" s="60" t="s">
        <v>19</v>
      </c>
      <c r="J458" s="60">
        <v>956000</v>
      </c>
      <c r="K458" s="60"/>
    </row>
    <row r="459" spans="1:11" ht="30" customHeight="1" x14ac:dyDescent="0.25">
      <c r="A459" s="60">
        <v>458</v>
      </c>
      <c r="B459" s="60">
        <v>220909176</v>
      </c>
      <c r="C459" s="60" t="s">
        <v>1190</v>
      </c>
      <c r="D459" s="60">
        <v>8.67</v>
      </c>
      <c r="E459" s="60">
        <v>6261075491</v>
      </c>
      <c r="F459" s="60" t="s">
        <v>1191</v>
      </c>
      <c r="G459" s="60" t="s">
        <v>312</v>
      </c>
      <c r="H459" s="60" t="s">
        <v>191</v>
      </c>
      <c r="I459" s="60" t="s">
        <v>19</v>
      </c>
      <c r="J459" s="60">
        <v>956000</v>
      </c>
      <c r="K459" s="60"/>
    </row>
    <row r="460" spans="1:11" ht="30" customHeight="1" x14ac:dyDescent="0.25">
      <c r="A460" s="60">
        <v>459</v>
      </c>
      <c r="B460" s="60">
        <v>220929078</v>
      </c>
      <c r="C460" s="60" t="s">
        <v>1192</v>
      </c>
      <c r="D460" s="60">
        <v>7.12</v>
      </c>
      <c r="E460" s="60">
        <v>9870255348</v>
      </c>
      <c r="F460" s="60" t="s">
        <v>1193</v>
      </c>
      <c r="G460" s="60" t="s">
        <v>317</v>
      </c>
      <c r="H460" s="60" t="s">
        <v>191</v>
      </c>
      <c r="I460" s="60" t="s">
        <v>19</v>
      </c>
      <c r="J460" s="60">
        <v>956000</v>
      </c>
      <c r="K460" s="60"/>
    </row>
    <row r="461" spans="1:11" ht="30" customHeight="1" x14ac:dyDescent="0.25">
      <c r="A461" s="60">
        <v>460</v>
      </c>
      <c r="B461" s="60">
        <v>220929030</v>
      </c>
      <c r="C461" s="60" t="s">
        <v>1194</v>
      </c>
      <c r="D461" s="60">
        <v>9.26</v>
      </c>
      <c r="E461" s="60">
        <v>7506374375</v>
      </c>
      <c r="F461" s="60" t="s">
        <v>1195</v>
      </c>
      <c r="G461" s="60" t="s">
        <v>317</v>
      </c>
      <c r="H461" s="60" t="s">
        <v>191</v>
      </c>
      <c r="I461" s="60" t="s">
        <v>19</v>
      </c>
      <c r="J461" s="60">
        <v>956000</v>
      </c>
      <c r="K461" s="60"/>
    </row>
    <row r="462" spans="1:11" ht="30" customHeight="1" x14ac:dyDescent="0.25">
      <c r="A462" s="60">
        <v>461</v>
      </c>
      <c r="B462" s="60">
        <v>220907710</v>
      </c>
      <c r="C462" s="60" t="s">
        <v>1196</v>
      </c>
      <c r="D462" s="60">
        <v>9.2100000000000009</v>
      </c>
      <c r="E462" s="60">
        <v>9654946990</v>
      </c>
      <c r="F462" s="60" t="s">
        <v>1197</v>
      </c>
      <c r="G462" s="60" t="s">
        <v>277</v>
      </c>
      <c r="H462" s="60" t="s">
        <v>151</v>
      </c>
      <c r="I462" s="60" t="s">
        <v>19</v>
      </c>
      <c r="J462" s="60">
        <v>2364000</v>
      </c>
      <c r="K462" s="60"/>
    </row>
    <row r="463" spans="1:11" ht="30" customHeight="1" x14ac:dyDescent="0.25">
      <c r="A463" s="60">
        <v>462</v>
      </c>
      <c r="B463" s="60">
        <v>220907582</v>
      </c>
      <c r="C463" s="60" t="s">
        <v>1198</v>
      </c>
      <c r="D463" s="60">
        <v>9.02</v>
      </c>
      <c r="E463" s="60">
        <v>9958170218</v>
      </c>
      <c r="F463" s="60" t="s">
        <v>1199</v>
      </c>
      <c r="G463" s="60" t="s">
        <v>277</v>
      </c>
      <c r="H463" s="60" t="s">
        <v>151</v>
      </c>
      <c r="I463" s="60" t="s">
        <v>19</v>
      </c>
      <c r="J463" s="60">
        <v>2364000</v>
      </c>
      <c r="K463" s="60"/>
    </row>
    <row r="464" spans="1:11" ht="30" customHeight="1" x14ac:dyDescent="0.25">
      <c r="A464" s="60">
        <v>463</v>
      </c>
      <c r="B464" s="60">
        <v>220907824</v>
      </c>
      <c r="C464" s="60" t="s">
        <v>1200</v>
      </c>
      <c r="D464" s="60">
        <v>8.81</v>
      </c>
      <c r="E464" s="60">
        <v>9529237601</v>
      </c>
      <c r="F464" s="60" t="s">
        <v>1201</v>
      </c>
      <c r="G464" s="60" t="s">
        <v>277</v>
      </c>
      <c r="H464" s="60" t="s">
        <v>151</v>
      </c>
      <c r="I464" s="60" t="s">
        <v>19</v>
      </c>
      <c r="J464" s="60">
        <v>2364000</v>
      </c>
      <c r="K464" s="60"/>
    </row>
    <row r="465" spans="1:11" ht="30" customHeight="1" x14ac:dyDescent="0.25">
      <c r="A465" s="60">
        <v>464</v>
      </c>
      <c r="B465" s="60">
        <v>220909132</v>
      </c>
      <c r="C465" s="60" t="s">
        <v>1202</v>
      </c>
      <c r="D465" s="60">
        <v>8.17</v>
      </c>
      <c r="E465" s="60">
        <v>6380687294</v>
      </c>
      <c r="F465" s="60" t="s">
        <v>1203</v>
      </c>
      <c r="G465" s="60" t="s">
        <v>312</v>
      </c>
      <c r="H465" s="60" t="s">
        <v>197</v>
      </c>
      <c r="I465" s="60" t="s">
        <v>19</v>
      </c>
      <c r="J465" s="60">
        <v>1088038</v>
      </c>
      <c r="K465" s="60"/>
    </row>
    <row r="466" spans="1:11" ht="30" customHeight="1" x14ac:dyDescent="0.25">
      <c r="A466" s="60">
        <v>465</v>
      </c>
      <c r="B466" s="60">
        <v>220906506</v>
      </c>
      <c r="C466" s="60" t="s">
        <v>1204</v>
      </c>
      <c r="D466" s="60">
        <v>7.52</v>
      </c>
      <c r="E466" s="60">
        <v>9059290049</v>
      </c>
      <c r="F466" s="60" t="s">
        <v>1205</v>
      </c>
      <c r="G466" s="60" t="s">
        <v>478</v>
      </c>
      <c r="H466" s="60" t="s">
        <v>197</v>
      </c>
      <c r="I466" s="60" t="s">
        <v>19</v>
      </c>
      <c r="J466" s="60">
        <v>1088038</v>
      </c>
      <c r="K466" s="60"/>
    </row>
    <row r="467" spans="1:11" ht="30" customHeight="1" x14ac:dyDescent="0.25">
      <c r="A467" s="60">
        <v>466</v>
      </c>
      <c r="B467" s="60">
        <v>220906294</v>
      </c>
      <c r="C467" s="60" t="s">
        <v>1206</v>
      </c>
      <c r="D467" s="60">
        <v>7.2</v>
      </c>
      <c r="E467" s="60">
        <v>9810185568</v>
      </c>
      <c r="F467" s="60" t="s">
        <v>1207</v>
      </c>
      <c r="G467" s="60" t="s">
        <v>478</v>
      </c>
      <c r="H467" s="60" t="s">
        <v>197</v>
      </c>
      <c r="I467" s="60" t="s">
        <v>19</v>
      </c>
      <c r="J467" s="60">
        <v>1088038</v>
      </c>
      <c r="K467" s="60"/>
    </row>
    <row r="468" spans="1:11" ht="30" customHeight="1" x14ac:dyDescent="0.25">
      <c r="A468" s="60">
        <v>467</v>
      </c>
      <c r="B468" s="60">
        <v>220911286</v>
      </c>
      <c r="C468" s="60" t="s">
        <v>1208</v>
      </c>
      <c r="D468" s="60">
        <v>8.26</v>
      </c>
      <c r="E468" s="60">
        <v>8356853394</v>
      </c>
      <c r="F468" s="60" t="s">
        <v>1209</v>
      </c>
      <c r="G468" s="60" t="s">
        <v>274</v>
      </c>
      <c r="H468" s="60" t="s">
        <v>197</v>
      </c>
      <c r="I468" s="60" t="s">
        <v>19</v>
      </c>
      <c r="J468" s="60">
        <v>1088038</v>
      </c>
      <c r="K468" s="60"/>
    </row>
    <row r="469" spans="1:11" ht="30" customHeight="1" x14ac:dyDescent="0.25">
      <c r="A469" s="60">
        <v>468</v>
      </c>
      <c r="B469" s="60">
        <v>220953014</v>
      </c>
      <c r="C469" s="60" t="s">
        <v>1210</v>
      </c>
      <c r="D469" s="60">
        <v>7.37</v>
      </c>
      <c r="E469" s="60">
        <v>8861324812</v>
      </c>
      <c r="F469" s="60" t="s">
        <v>1211</v>
      </c>
      <c r="G469" s="60" t="s">
        <v>261</v>
      </c>
      <c r="H469" s="159" t="s">
        <v>192</v>
      </c>
      <c r="I469" s="60" t="s">
        <v>20</v>
      </c>
      <c r="J469" s="60">
        <v>950000</v>
      </c>
      <c r="K469" s="60">
        <v>18000</v>
      </c>
    </row>
    <row r="470" spans="1:11" ht="30" customHeight="1" x14ac:dyDescent="0.25">
      <c r="A470" s="60">
        <v>469</v>
      </c>
      <c r="B470" s="60">
        <v>220953508</v>
      </c>
      <c r="C470" s="60" t="s">
        <v>1212</v>
      </c>
      <c r="D470" s="60">
        <v>8.31</v>
      </c>
      <c r="E470" s="60">
        <v>8127755250</v>
      </c>
      <c r="F470" s="60" t="s">
        <v>1213</v>
      </c>
      <c r="G470" s="60" t="s">
        <v>261</v>
      </c>
      <c r="H470" s="60" t="s">
        <v>193</v>
      </c>
      <c r="I470" s="60" t="s">
        <v>19</v>
      </c>
      <c r="J470" s="60">
        <v>1200000</v>
      </c>
      <c r="K470" s="60"/>
    </row>
    <row r="471" spans="1:11" ht="30" customHeight="1" x14ac:dyDescent="0.25">
      <c r="A471" s="60">
        <v>470</v>
      </c>
      <c r="B471" s="60">
        <v>220953502</v>
      </c>
      <c r="C471" s="60" t="s">
        <v>1214</v>
      </c>
      <c r="D471" s="60">
        <v>7.31</v>
      </c>
      <c r="E471" s="60">
        <v>9953147517</v>
      </c>
      <c r="F471" s="60" t="s">
        <v>1215</v>
      </c>
      <c r="G471" s="60" t="s">
        <v>261</v>
      </c>
      <c r="H471" s="60" t="s">
        <v>193</v>
      </c>
      <c r="I471" s="60" t="s">
        <v>19</v>
      </c>
      <c r="J471" s="60">
        <v>1200000</v>
      </c>
      <c r="K471" s="60"/>
    </row>
    <row r="472" spans="1:11" ht="30" customHeight="1" x14ac:dyDescent="0.25">
      <c r="A472" s="60">
        <v>471</v>
      </c>
      <c r="B472" s="60">
        <v>220953436</v>
      </c>
      <c r="C472" s="60" t="s">
        <v>1216</v>
      </c>
      <c r="D472" s="60">
        <v>7.11</v>
      </c>
      <c r="E472" s="60">
        <v>9987755239</v>
      </c>
      <c r="F472" s="60" t="s">
        <v>1217</v>
      </c>
      <c r="G472" s="60" t="s">
        <v>261</v>
      </c>
      <c r="H472" s="60" t="s">
        <v>193</v>
      </c>
      <c r="I472" s="60" t="s">
        <v>19</v>
      </c>
      <c r="J472" s="60">
        <v>1200000</v>
      </c>
      <c r="K472" s="60"/>
    </row>
    <row r="473" spans="1:11" ht="30" customHeight="1" x14ac:dyDescent="0.25">
      <c r="A473" s="60">
        <v>472</v>
      </c>
      <c r="B473" s="60">
        <v>220953286</v>
      </c>
      <c r="C473" s="60" t="s">
        <v>1218</v>
      </c>
      <c r="D473" s="60">
        <v>6.76</v>
      </c>
      <c r="E473" s="60">
        <v>9811344816</v>
      </c>
      <c r="F473" s="60" t="s">
        <v>1219</v>
      </c>
      <c r="G473" s="60" t="s">
        <v>261</v>
      </c>
      <c r="H473" s="60" t="s">
        <v>193</v>
      </c>
      <c r="I473" s="60" t="s">
        <v>19</v>
      </c>
      <c r="J473" s="60">
        <v>1200000</v>
      </c>
      <c r="K473" s="60"/>
    </row>
    <row r="474" spans="1:11" ht="30" customHeight="1" x14ac:dyDescent="0.25">
      <c r="A474" s="60">
        <v>473</v>
      </c>
      <c r="B474" s="60">
        <v>220953480</v>
      </c>
      <c r="C474" s="60" t="s">
        <v>1220</v>
      </c>
      <c r="D474" s="60">
        <v>6.45</v>
      </c>
      <c r="E474" s="60">
        <v>8931086634</v>
      </c>
      <c r="F474" s="60" t="s">
        <v>1221</v>
      </c>
      <c r="G474" s="60" t="s">
        <v>261</v>
      </c>
      <c r="H474" s="60" t="s">
        <v>193</v>
      </c>
      <c r="I474" s="60" t="s">
        <v>19</v>
      </c>
      <c r="J474" s="60">
        <v>1200000</v>
      </c>
      <c r="K474" s="60"/>
    </row>
    <row r="475" spans="1:11" ht="30" customHeight="1" x14ac:dyDescent="0.25">
      <c r="A475" s="60">
        <v>474</v>
      </c>
      <c r="B475" s="60">
        <v>220961052</v>
      </c>
      <c r="C475" s="60" t="s">
        <v>1222</v>
      </c>
      <c r="D475" s="60">
        <v>7.02</v>
      </c>
      <c r="E475" s="60">
        <v>6280658694</v>
      </c>
      <c r="F475" s="60" t="s">
        <v>1223</v>
      </c>
      <c r="G475" s="60" t="s">
        <v>541</v>
      </c>
      <c r="H475" s="60" t="s">
        <v>193</v>
      </c>
      <c r="I475" s="60" t="s">
        <v>19</v>
      </c>
      <c r="J475" s="60">
        <v>1200000</v>
      </c>
      <c r="K475" s="60"/>
    </row>
    <row r="476" spans="1:11" ht="30" customHeight="1" x14ac:dyDescent="0.25">
      <c r="A476" s="60">
        <v>475</v>
      </c>
      <c r="B476" s="60">
        <v>220961178</v>
      </c>
      <c r="C476" s="60" t="s">
        <v>1224</v>
      </c>
      <c r="D476" s="60">
        <v>6.67</v>
      </c>
      <c r="E476" s="60">
        <v>9481813661</v>
      </c>
      <c r="F476" s="60" t="s">
        <v>1225</v>
      </c>
      <c r="G476" s="60" t="s">
        <v>541</v>
      </c>
      <c r="H476" s="60" t="s">
        <v>193</v>
      </c>
      <c r="I476" s="60" t="s">
        <v>19</v>
      </c>
      <c r="J476" s="60">
        <v>1200000</v>
      </c>
      <c r="K476" s="60"/>
    </row>
    <row r="477" spans="1:11" ht="30" customHeight="1" x14ac:dyDescent="0.25">
      <c r="A477" s="60">
        <v>476</v>
      </c>
      <c r="B477" s="60">
        <v>220907784</v>
      </c>
      <c r="C477" s="60" t="s">
        <v>1226</v>
      </c>
      <c r="D477" s="60">
        <v>7.17</v>
      </c>
      <c r="E477" s="60">
        <v>8317493934</v>
      </c>
      <c r="F477" s="60" t="s">
        <v>1227</v>
      </c>
      <c r="G477" s="60" t="s">
        <v>277</v>
      </c>
      <c r="H477" s="60" t="s">
        <v>193</v>
      </c>
      <c r="I477" s="60" t="s">
        <v>19</v>
      </c>
      <c r="J477" s="60">
        <v>1200000</v>
      </c>
      <c r="K477" s="60"/>
    </row>
    <row r="478" spans="1:11" ht="30" customHeight="1" x14ac:dyDescent="0.25">
      <c r="A478" s="60">
        <v>477</v>
      </c>
      <c r="B478" s="60">
        <v>220907856</v>
      </c>
      <c r="C478" s="60" t="s">
        <v>1228</v>
      </c>
      <c r="D478" s="60">
        <v>7.06</v>
      </c>
      <c r="E478" s="60">
        <v>8287227570</v>
      </c>
      <c r="F478" s="60" t="s">
        <v>1229</v>
      </c>
      <c r="G478" s="60" t="s">
        <v>277</v>
      </c>
      <c r="H478" s="60" t="s">
        <v>193</v>
      </c>
      <c r="I478" s="60" t="s">
        <v>19</v>
      </c>
      <c r="J478" s="60">
        <v>1200000</v>
      </c>
      <c r="K478" s="60"/>
    </row>
    <row r="479" spans="1:11" ht="30" customHeight="1" x14ac:dyDescent="0.25">
      <c r="A479" s="60">
        <v>478</v>
      </c>
      <c r="B479" s="60">
        <v>220932212</v>
      </c>
      <c r="C479" s="60" t="s">
        <v>1230</v>
      </c>
      <c r="D479" s="60">
        <v>7.26</v>
      </c>
      <c r="E479" s="60">
        <v>6361014157</v>
      </c>
      <c r="F479" s="60" t="s">
        <v>1231</v>
      </c>
      <c r="G479" s="60" t="s">
        <v>289</v>
      </c>
      <c r="H479" s="60" t="s">
        <v>193</v>
      </c>
      <c r="I479" s="60" t="s">
        <v>19</v>
      </c>
      <c r="J479" s="60">
        <v>1200000</v>
      </c>
      <c r="K479" s="60"/>
    </row>
    <row r="480" spans="1:11" ht="30" customHeight="1" x14ac:dyDescent="0.25">
      <c r="A480" s="60">
        <v>479</v>
      </c>
      <c r="B480" s="60">
        <v>220911438</v>
      </c>
      <c r="C480" s="60" t="s">
        <v>1232</v>
      </c>
      <c r="D480" s="60">
        <v>7.7</v>
      </c>
      <c r="E480" s="60">
        <v>7276072797</v>
      </c>
      <c r="F480" s="60" t="s">
        <v>1233</v>
      </c>
      <c r="G480" s="60" t="s">
        <v>274</v>
      </c>
      <c r="H480" s="60" t="s">
        <v>193</v>
      </c>
      <c r="I480" s="60" t="s">
        <v>19</v>
      </c>
      <c r="J480" s="60">
        <v>1200000</v>
      </c>
      <c r="K480" s="60"/>
    </row>
    <row r="481" spans="1:11" ht="30" customHeight="1" x14ac:dyDescent="0.25">
      <c r="A481" s="60">
        <v>480</v>
      </c>
      <c r="B481" s="60">
        <v>220911008</v>
      </c>
      <c r="C481" s="60" t="s">
        <v>1234</v>
      </c>
      <c r="D481" s="60">
        <v>7.42</v>
      </c>
      <c r="E481" s="60">
        <v>9902040332</v>
      </c>
      <c r="F481" s="60" t="s">
        <v>1235</v>
      </c>
      <c r="G481" s="60" t="s">
        <v>274</v>
      </c>
      <c r="H481" s="60" t="s">
        <v>193</v>
      </c>
      <c r="I481" s="60" t="s">
        <v>19</v>
      </c>
      <c r="J481" s="60">
        <v>1200000</v>
      </c>
      <c r="K481" s="60"/>
    </row>
    <row r="482" spans="1:11" ht="30" customHeight="1" x14ac:dyDescent="0.25">
      <c r="A482" s="60">
        <v>481</v>
      </c>
      <c r="B482" s="60">
        <v>220911034</v>
      </c>
      <c r="C482" s="60" t="s">
        <v>1236</v>
      </c>
      <c r="D482" s="60">
        <v>6.55</v>
      </c>
      <c r="E482" s="60">
        <v>8884801124</v>
      </c>
      <c r="F482" s="60" t="s">
        <v>1237</v>
      </c>
      <c r="G482" s="60" t="s">
        <v>274</v>
      </c>
      <c r="H482" s="60" t="s">
        <v>193</v>
      </c>
      <c r="I482" s="60" t="s">
        <v>19</v>
      </c>
      <c r="J482" s="60">
        <v>1200000</v>
      </c>
      <c r="K482" s="60"/>
    </row>
    <row r="483" spans="1:11" ht="30" customHeight="1" x14ac:dyDescent="0.25">
      <c r="A483" s="60">
        <v>482</v>
      </c>
      <c r="B483" s="60">
        <v>220905245</v>
      </c>
      <c r="C483" s="60" t="s">
        <v>1238</v>
      </c>
      <c r="D483" s="60">
        <v>6.91</v>
      </c>
      <c r="E483" s="60">
        <v>7864803434</v>
      </c>
      <c r="F483" s="60" t="s">
        <v>1239</v>
      </c>
      <c r="G483" s="60" t="s">
        <v>256</v>
      </c>
      <c r="H483" s="60" t="s">
        <v>194</v>
      </c>
      <c r="I483" s="60" t="s">
        <v>20</v>
      </c>
      <c r="J483" s="60">
        <v>755000</v>
      </c>
      <c r="K483" s="60">
        <v>25000</v>
      </c>
    </row>
    <row r="484" spans="1:11" ht="30" customHeight="1" x14ac:dyDescent="0.25">
      <c r="A484" s="60">
        <v>483</v>
      </c>
      <c r="B484" s="60">
        <v>220962360</v>
      </c>
      <c r="C484" s="60" t="s">
        <v>1240</v>
      </c>
      <c r="D484" s="60">
        <v>7.16</v>
      </c>
      <c r="E484" s="60">
        <v>7981134592</v>
      </c>
      <c r="F484" s="60" t="s">
        <v>1241</v>
      </c>
      <c r="G484" s="60" t="s">
        <v>253</v>
      </c>
      <c r="H484" s="60" t="s">
        <v>194</v>
      </c>
      <c r="I484" s="60" t="s">
        <v>20</v>
      </c>
      <c r="J484" s="60">
        <v>755000</v>
      </c>
      <c r="K484" s="60">
        <v>25000</v>
      </c>
    </row>
    <row r="485" spans="1:11" ht="30" customHeight="1" x14ac:dyDescent="0.25">
      <c r="A485" s="60">
        <v>484</v>
      </c>
      <c r="B485" s="60">
        <v>220961116</v>
      </c>
      <c r="C485" s="60" t="s">
        <v>1242</v>
      </c>
      <c r="D485" s="60">
        <v>7.23</v>
      </c>
      <c r="E485" s="60">
        <v>9021890563</v>
      </c>
      <c r="F485" s="60" t="s">
        <v>1243</v>
      </c>
      <c r="G485" s="60" t="s">
        <v>541</v>
      </c>
      <c r="H485" s="60" t="s">
        <v>194</v>
      </c>
      <c r="I485" s="60" t="s">
        <v>20</v>
      </c>
      <c r="J485" s="60">
        <v>755000</v>
      </c>
      <c r="K485" s="60">
        <v>25000</v>
      </c>
    </row>
    <row r="486" spans="1:11" ht="30" customHeight="1" x14ac:dyDescent="0.25">
      <c r="A486" s="60">
        <v>485</v>
      </c>
      <c r="B486" s="60">
        <v>220961078</v>
      </c>
      <c r="C486" s="60" t="s">
        <v>1244</v>
      </c>
      <c r="D486" s="60">
        <v>6.99</v>
      </c>
      <c r="E486" s="60">
        <v>8590085023</v>
      </c>
      <c r="F486" s="60" t="s">
        <v>1245</v>
      </c>
      <c r="G486" s="60" t="s">
        <v>541</v>
      </c>
      <c r="H486" s="60" t="s">
        <v>194</v>
      </c>
      <c r="I486" s="60" t="s">
        <v>20</v>
      </c>
      <c r="J486" s="60">
        <v>755000</v>
      </c>
      <c r="K486" s="60">
        <v>25000</v>
      </c>
    </row>
    <row r="487" spans="1:11" ht="30" customHeight="1" x14ac:dyDescent="0.25">
      <c r="A487" s="60">
        <v>486</v>
      </c>
      <c r="B487" s="60">
        <v>220968104</v>
      </c>
      <c r="C487" s="60" t="s">
        <v>1246</v>
      </c>
      <c r="D487" s="60">
        <v>7.15</v>
      </c>
      <c r="E487" s="60">
        <v>8860979091</v>
      </c>
      <c r="F487" s="60" t="s">
        <v>1247</v>
      </c>
      <c r="G487" s="60" t="s">
        <v>384</v>
      </c>
      <c r="H487" s="60" t="s">
        <v>194</v>
      </c>
      <c r="I487" s="60" t="s">
        <v>20</v>
      </c>
      <c r="J487" s="60">
        <v>755000</v>
      </c>
      <c r="K487" s="60">
        <v>25000</v>
      </c>
    </row>
    <row r="488" spans="1:11" ht="30" customHeight="1" x14ac:dyDescent="0.25">
      <c r="A488" s="60">
        <v>487</v>
      </c>
      <c r="B488" s="60">
        <v>220968158</v>
      </c>
      <c r="C488" s="60" t="s">
        <v>1248</v>
      </c>
      <c r="D488" s="60">
        <v>6.93</v>
      </c>
      <c r="E488" s="60">
        <v>9636654911</v>
      </c>
      <c r="F488" s="60" t="s">
        <v>1249</v>
      </c>
      <c r="G488" s="60" t="s">
        <v>384</v>
      </c>
      <c r="H488" s="60" t="s">
        <v>194</v>
      </c>
      <c r="I488" s="60" t="s">
        <v>20</v>
      </c>
      <c r="J488" s="60">
        <v>755000</v>
      </c>
      <c r="K488" s="60">
        <v>25000</v>
      </c>
    </row>
    <row r="489" spans="1:11" ht="30" customHeight="1" x14ac:dyDescent="0.25">
      <c r="A489" s="60">
        <v>488</v>
      </c>
      <c r="B489" s="60">
        <v>220968408</v>
      </c>
      <c r="C489" s="60" t="s">
        <v>1250</v>
      </c>
      <c r="D489" s="60">
        <v>6.93</v>
      </c>
      <c r="E489" s="60">
        <v>9407795129</v>
      </c>
      <c r="F489" s="60" t="s">
        <v>1251</v>
      </c>
      <c r="G489" s="60" t="s">
        <v>384</v>
      </c>
      <c r="H489" s="60" t="s">
        <v>194</v>
      </c>
      <c r="I489" s="60" t="s">
        <v>20</v>
      </c>
      <c r="J489" s="60">
        <v>755000</v>
      </c>
      <c r="K489" s="60">
        <v>25000</v>
      </c>
    </row>
    <row r="490" spans="1:11" ht="30" customHeight="1" x14ac:dyDescent="0.25">
      <c r="A490" s="60">
        <v>489</v>
      </c>
      <c r="B490" s="60">
        <v>220903058</v>
      </c>
      <c r="C490" s="60" t="s">
        <v>1252</v>
      </c>
      <c r="D490" s="60">
        <v>8.4499999999999993</v>
      </c>
      <c r="E490" s="60">
        <v>7089033842</v>
      </c>
      <c r="F490" s="60" t="s">
        <v>1253</v>
      </c>
      <c r="G490" s="60" t="s">
        <v>286</v>
      </c>
      <c r="H490" s="60" t="s">
        <v>195</v>
      </c>
      <c r="I490" s="60" t="s">
        <v>19</v>
      </c>
      <c r="J490" s="60">
        <v>750000</v>
      </c>
      <c r="K490" s="60"/>
    </row>
    <row r="491" spans="1:11" ht="30" customHeight="1" x14ac:dyDescent="0.25">
      <c r="A491" s="60">
        <v>490</v>
      </c>
      <c r="B491" s="60">
        <v>220906044</v>
      </c>
      <c r="C491" s="60" t="s">
        <v>1254</v>
      </c>
      <c r="D491" s="60">
        <v>6.83</v>
      </c>
      <c r="E491" s="60">
        <v>9816236842</v>
      </c>
      <c r="F491" s="60" t="s">
        <v>1255</v>
      </c>
      <c r="G491" s="60" t="s">
        <v>478</v>
      </c>
      <c r="H491" s="60" t="s">
        <v>195</v>
      </c>
      <c r="I491" s="60" t="s">
        <v>19</v>
      </c>
      <c r="J491" s="60">
        <v>750000</v>
      </c>
      <c r="K491" s="60"/>
    </row>
    <row r="492" spans="1:11" ht="30" customHeight="1" x14ac:dyDescent="0.25">
      <c r="A492" s="60">
        <v>491</v>
      </c>
      <c r="B492" s="60">
        <v>210906136</v>
      </c>
      <c r="C492" s="60" t="s">
        <v>1256</v>
      </c>
      <c r="D492" s="60">
        <v>6.53</v>
      </c>
      <c r="E492" s="60">
        <v>6304345589</v>
      </c>
      <c r="F492" s="60" t="s">
        <v>1257</v>
      </c>
      <c r="G492" s="60" t="s">
        <v>478</v>
      </c>
      <c r="H492" s="60" t="s">
        <v>195</v>
      </c>
      <c r="I492" s="60" t="s">
        <v>19</v>
      </c>
      <c r="J492" s="60">
        <v>750000</v>
      </c>
      <c r="K492" s="60"/>
    </row>
    <row r="493" spans="1:11" ht="30" customHeight="1" x14ac:dyDescent="0.25">
      <c r="A493" s="60">
        <v>492</v>
      </c>
      <c r="B493" s="60">
        <v>220906638</v>
      </c>
      <c r="C493" s="60" t="s">
        <v>1258</v>
      </c>
      <c r="D493" s="60">
        <v>6.5</v>
      </c>
      <c r="E493" s="60">
        <v>9821181441</v>
      </c>
      <c r="F493" s="60" t="s">
        <v>1259</v>
      </c>
      <c r="G493" s="60" t="s">
        <v>478</v>
      </c>
      <c r="H493" s="60" t="s">
        <v>195</v>
      </c>
      <c r="I493" s="60" t="s">
        <v>19</v>
      </c>
      <c r="J493" s="60">
        <v>750000</v>
      </c>
      <c r="K493" s="60"/>
    </row>
    <row r="494" spans="1:11" ht="30" customHeight="1" x14ac:dyDescent="0.25">
      <c r="A494" s="60">
        <v>493</v>
      </c>
      <c r="B494" s="60">
        <v>220907526</v>
      </c>
      <c r="C494" s="60" t="s">
        <v>1260</v>
      </c>
      <c r="D494" s="60">
        <v>6.93</v>
      </c>
      <c r="E494" s="60">
        <v>9113593346</v>
      </c>
      <c r="F494" s="60" t="s">
        <v>1261</v>
      </c>
      <c r="G494" s="60" t="s">
        <v>277</v>
      </c>
      <c r="H494" s="60" t="s">
        <v>195</v>
      </c>
      <c r="I494" s="60" t="s">
        <v>19</v>
      </c>
      <c r="J494" s="60">
        <v>750000</v>
      </c>
      <c r="K494" s="60"/>
    </row>
    <row r="495" spans="1:11" ht="30" customHeight="1" x14ac:dyDescent="0.25">
      <c r="A495" s="60">
        <v>494</v>
      </c>
      <c r="B495" s="60">
        <v>220932236</v>
      </c>
      <c r="C495" s="60" t="s">
        <v>1262</v>
      </c>
      <c r="D495" s="60">
        <v>7.29</v>
      </c>
      <c r="E495" s="60">
        <v>9545076828</v>
      </c>
      <c r="F495" s="60" t="s">
        <v>1263</v>
      </c>
      <c r="G495" s="60" t="s">
        <v>289</v>
      </c>
      <c r="H495" s="60" t="s">
        <v>195</v>
      </c>
      <c r="I495" s="60" t="s">
        <v>19</v>
      </c>
      <c r="J495" s="60">
        <v>750000</v>
      </c>
      <c r="K495" s="60"/>
    </row>
    <row r="496" spans="1:11" ht="30" customHeight="1" x14ac:dyDescent="0.25">
      <c r="A496" s="60">
        <v>495</v>
      </c>
      <c r="B496" s="60">
        <v>220909166</v>
      </c>
      <c r="C496" s="60" t="s">
        <v>1264</v>
      </c>
      <c r="D496" s="60">
        <v>6.91</v>
      </c>
      <c r="E496" s="60">
        <v>9324281614</v>
      </c>
      <c r="F496" s="60" t="s">
        <v>1265</v>
      </c>
      <c r="G496" s="60" t="s">
        <v>312</v>
      </c>
      <c r="H496" s="60" t="s">
        <v>195</v>
      </c>
      <c r="I496" s="60" t="s">
        <v>19</v>
      </c>
      <c r="J496" s="60">
        <v>750000</v>
      </c>
      <c r="K496" s="60"/>
    </row>
    <row r="497" spans="1:11" ht="30" customHeight="1" x14ac:dyDescent="0.25">
      <c r="A497" s="60">
        <v>496</v>
      </c>
      <c r="B497" s="60">
        <v>220909024</v>
      </c>
      <c r="C497" s="60" t="s">
        <v>1266</v>
      </c>
      <c r="D497" s="60">
        <v>6.5</v>
      </c>
      <c r="E497" s="60">
        <v>9352961960</v>
      </c>
      <c r="F497" s="60" t="s">
        <v>1267</v>
      </c>
      <c r="G497" s="60" t="s">
        <v>312</v>
      </c>
      <c r="H497" s="60" t="s">
        <v>195</v>
      </c>
      <c r="I497" s="60" t="s">
        <v>19</v>
      </c>
      <c r="J497" s="60">
        <v>750000</v>
      </c>
      <c r="K497" s="60"/>
    </row>
    <row r="498" spans="1:11" ht="30" customHeight="1" x14ac:dyDescent="0.25">
      <c r="A498" s="60">
        <v>497</v>
      </c>
      <c r="B498" s="60">
        <v>220953352</v>
      </c>
      <c r="C498" s="60" t="s">
        <v>1268</v>
      </c>
      <c r="D498" s="60">
        <v>8.51</v>
      </c>
      <c r="E498" s="60">
        <v>9606834142</v>
      </c>
      <c r="F498" s="60" t="s">
        <v>1269</v>
      </c>
      <c r="G498" s="60" t="s">
        <v>261</v>
      </c>
      <c r="H498" s="60" t="s">
        <v>196</v>
      </c>
      <c r="I498" s="60" t="s">
        <v>19</v>
      </c>
      <c r="J498" s="60">
        <v>1921000</v>
      </c>
      <c r="K498" s="60"/>
    </row>
    <row r="499" spans="1:11" ht="30" customHeight="1" x14ac:dyDescent="0.25">
      <c r="A499" s="60">
        <v>498</v>
      </c>
      <c r="B499" s="60">
        <v>220905018</v>
      </c>
      <c r="C499" s="60" t="s">
        <v>1270</v>
      </c>
      <c r="D499" s="60">
        <v>9.65</v>
      </c>
      <c r="E499" s="60">
        <v>8431775997</v>
      </c>
      <c r="F499" s="60" t="s">
        <v>1271</v>
      </c>
      <c r="G499" s="60" t="s">
        <v>256</v>
      </c>
      <c r="H499" s="60" t="s">
        <v>196</v>
      </c>
      <c r="I499" s="60" t="s">
        <v>19</v>
      </c>
      <c r="J499" s="60">
        <v>1921000</v>
      </c>
      <c r="K499" s="60"/>
    </row>
    <row r="500" spans="1:11" ht="30" customHeight="1" x14ac:dyDescent="0.25">
      <c r="A500" s="60">
        <v>499</v>
      </c>
      <c r="B500" s="60">
        <v>220905466</v>
      </c>
      <c r="C500" s="60" t="s">
        <v>1272</v>
      </c>
      <c r="D500" s="60">
        <v>9.36</v>
      </c>
      <c r="E500" s="60">
        <v>6209772455</v>
      </c>
      <c r="F500" s="60" t="s">
        <v>1273</v>
      </c>
      <c r="G500" s="60" t="s">
        <v>256</v>
      </c>
      <c r="H500" s="60" t="s">
        <v>196</v>
      </c>
      <c r="I500" s="60" t="s">
        <v>19</v>
      </c>
      <c r="J500" s="60">
        <v>1921000</v>
      </c>
      <c r="K500" s="60"/>
    </row>
    <row r="501" spans="1:11" ht="30" customHeight="1" x14ac:dyDescent="0.25">
      <c r="A501" s="60">
        <v>500</v>
      </c>
      <c r="B501" s="60">
        <v>220905022</v>
      </c>
      <c r="C501" s="60" t="s">
        <v>1274</v>
      </c>
      <c r="D501" s="60">
        <v>8.57</v>
      </c>
      <c r="E501" s="60">
        <v>9902361375</v>
      </c>
      <c r="F501" s="60" t="s">
        <v>1275</v>
      </c>
      <c r="G501" s="60" t="s">
        <v>256</v>
      </c>
      <c r="H501" s="60" t="s">
        <v>196</v>
      </c>
      <c r="I501" s="60" t="s">
        <v>19</v>
      </c>
      <c r="J501" s="60">
        <v>1921000</v>
      </c>
      <c r="K501" s="60"/>
    </row>
    <row r="502" spans="1:11" ht="30" customHeight="1" x14ac:dyDescent="0.25">
      <c r="A502" s="60">
        <v>501</v>
      </c>
      <c r="B502" s="60">
        <v>220905118</v>
      </c>
      <c r="C502" s="60" t="s">
        <v>1276</v>
      </c>
      <c r="D502" s="60">
        <v>8.06</v>
      </c>
      <c r="E502" s="60">
        <v>6901870725</v>
      </c>
      <c r="F502" s="60" t="s">
        <v>1277</v>
      </c>
      <c r="G502" s="60" t="s">
        <v>256</v>
      </c>
      <c r="H502" s="60" t="s">
        <v>196</v>
      </c>
      <c r="I502" s="60" t="s">
        <v>19</v>
      </c>
      <c r="J502" s="60">
        <v>1921000</v>
      </c>
      <c r="K502" s="60"/>
    </row>
    <row r="503" spans="1:11" ht="30" customHeight="1" x14ac:dyDescent="0.25">
      <c r="A503" s="60">
        <v>502</v>
      </c>
      <c r="B503" s="60">
        <v>220962446</v>
      </c>
      <c r="C503" s="60" t="s">
        <v>1278</v>
      </c>
      <c r="D503" s="60">
        <v>8.74</v>
      </c>
      <c r="E503" s="60">
        <v>9013469195</v>
      </c>
      <c r="F503" s="60" t="s">
        <v>1279</v>
      </c>
      <c r="G503" s="60" t="s">
        <v>253</v>
      </c>
      <c r="H503" s="60" t="s">
        <v>196</v>
      </c>
      <c r="I503" s="60" t="s">
        <v>19</v>
      </c>
      <c r="J503" s="60">
        <v>1921000</v>
      </c>
      <c r="K503" s="60"/>
    </row>
    <row r="504" spans="1:11" ht="30" customHeight="1" x14ac:dyDescent="0.25">
      <c r="A504" s="60">
        <v>503</v>
      </c>
      <c r="B504" s="60">
        <v>220962141</v>
      </c>
      <c r="C504" s="60" t="s">
        <v>1280</v>
      </c>
      <c r="D504" s="60">
        <v>8.5299999999999994</v>
      </c>
      <c r="E504" s="60">
        <v>6282303349</v>
      </c>
      <c r="F504" s="60" t="s">
        <v>1281</v>
      </c>
      <c r="G504" s="60" t="s">
        <v>253</v>
      </c>
      <c r="H504" s="60" t="s">
        <v>196</v>
      </c>
      <c r="I504" s="60" t="s">
        <v>19</v>
      </c>
      <c r="J504" s="60">
        <v>1921000</v>
      </c>
      <c r="K504" s="60"/>
    </row>
    <row r="505" spans="1:11" ht="30" customHeight="1" x14ac:dyDescent="0.25">
      <c r="A505" s="60">
        <v>504</v>
      </c>
      <c r="B505" s="60">
        <v>220968222</v>
      </c>
      <c r="C505" s="60" t="s">
        <v>1282</v>
      </c>
      <c r="D505" s="60">
        <v>8.99</v>
      </c>
      <c r="E505" s="60">
        <v>9322567207</v>
      </c>
      <c r="F505" s="60" t="s">
        <v>1283</v>
      </c>
      <c r="G505" s="60" t="s">
        <v>384</v>
      </c>
      <c r="H505" s="60" t="s">
        <v>196</v>
      </c>
      <c r="I505" s="60" t="s">
        <v>19</v>
      </c>
      <c r="J505" s="60">
        <v>1921000</v>
      </c>
      <c r="K505" s="60"/>
    </row>
    <row r="506" spans="1:11" ht="30" customHeight="1" x14ac:dyDescent="0.25">
      <c r="A506" s="60">
        <v>505</v>
      </c>
      <c r="B506" s="60">
        <v>220968280</v>
      </c>
      <c r="C506" s="60" t="s">
        <v>1284</v>
      </c>
      <c r="D506" s="60">
        <v>8.7200000000000006</v>
      </c>
      <c r="E506" s="60">
        <v>7022825747</v>
      </c>
      <c r="F506" s="60" t="s">
        <v>1285</v>
      </c>
      <c r="G506" s="60" t="s">
        <v>384</v>
      </c>
      <c r="H506" s="60" t="s">
        <v>196</v>
      </c>
      <c r="I506" s="60" t="s">
        <v>19</v>
      </c>
      <c r="J506" s="60">
        <v>1921000</v>
      </c>
      <c r="K506" s="60"/>
    </row>
    <row r="507" spans="1:11" ht="30" customHeight="1" x14ac:dyDescent="0.25">
      <c r="A507" s="60">
        <v>506</v>
      </c>
      <c r="B507" s="60">
        <v>220968182</v>
      </c>
      <c r="C507" s="60" t="s">
        <v>1286</v>
      </c>
      <c r="D507" s="60">
        <v>8</v>
      </c>
      <c r="E507" s="60">
        <v>7702929983</v>
      </c>
      <c r="F507" s="60" t="s">
        <v>1287</v>
      </c>
      <c r="G507" s="60" t="s">
        <v>384</v>
      </c>
      <c r="H507" s="60" t="s">
        <v>196</v>
      </c>
      <c r="I507" s="60" t="s">
        <v>19</v>
      </c>
      <c r="J507" s="60">
        <v>1921000</v>
      </c>
      <c r="K507" s="60"/>
    </row>
    <row r="508" spans="1:11" ht="30" customHeight="1" x14ac:dyDescent="0.25">
      <c r="A508" s="60">
        <v>507</v>
      </c>
      <c r="B508" s="60">
        <v>220968025</v>
      </c>
      <c r="C508" s="60" t="s">
        <v>1288</v>
      </c>
      <c r="D508" s="60">
        <v>7.75</v>
      </c>
      <c r="E508" s="60">
        <v>9980272844</v>
      </c>
      <c r="F508" s="60" t="s">
        <v>1289</v>
      </c>
      <c r="G508" s="60" t="s">
        <v>384</v>
      </c>
      <c r="H508" s="60" t="s">
        <v>196</v>
      </c>
      <c r="I508" s="60" t="s">
        <v>19</v>
      </c>
      <c r="J508" s="60">
        <v>1921000</v>
      </c>
      <c r="K508" s="60"/>
    </row>
    <row r="509" spans="1:11" ht="30" customHeight="1" x14ac:dyDescent="0.25">
      <c r="A509" s="60">
        <v>508</v>
      </c>
      <c r="B509" s="60">
        <v>220911546</v>
      </c>
      <c r="C509" s="60" t="s">
        <v>1290</v>
      </c>
      <c r="D509" s="60">
        <v>8.92</v>
      </c>
      <c r="E509" s="60">
        <v>7820017015</v>
      </c>
      <c r="F509" s="60" t="s">
        <v>1291</v>
      </c>
      <c r="G509" s="60" t="s">
        <v>274</v>
      </c>
      <c r="H509" s="60" t="s">
        <v>196</v>
      </c>
      <c r="I509" s="60" t="s">
        <v>19</v>
      </c>
      <c r="J509" s="60">
        <v>1921000</v>
      </c>
      <c r="K509" s="60"/>
    </row>
    <row r="510" spans="1:11" ht="30" customHeight="1" x14ac:dyDescent="0.25">
      <c r="A510" s="60">
        <v>509</v>
      </c>
      <c r="B510" s="60">
        <v>220911476</v>
      </c>
      <c r="C510" s="60" t="s">
        <v>1292</v>
      </c>
      <c r="D510" s="60">
        <v>8.7899999999999991</v>
      </c>
      <c r="E510" s="60">
        <v>9311411866</v>
      </c>
      <c r="F510" s="60" t="s">
        <v>1293</v>
      </c>
      <c r="G510" s="60" t="s">
        <v>274</v>
      </c>
      <c r="H510" s="60" t="s">
        <v>196</v>
      </c>
      <c r="I510" s="60" t="s">
        <v>19</v>
      </c>
      <c r="J510" s="60">
        <v>1921000</v>
      </c>
      <c r="K510" s="60"/>
    </row>
    <row r="511" spans="1:11" ht="30" customHeight="1" x14ac:dyDescent="0.25">
      <c r="A511" s="60">
        <v>510</v>
      </c>
      <c r="B511" s="60">
        <v>220911346</v>
      </c>
      <c r="C511" s="60" t="s">
        <v>1294</v>
      </c>
      <c r="D511" s="60">
        <v>7.93</v>
      </c>
      <c r="E511" s="60">
        <v>8057456490</v>
      </c>
      <c r="F511" s="60" t="s">
        <v>1295</v>
      </c>
      <c r="G511" s="60" t="s">
        <v>274</v>
      </c>
      <c r="H511" s="60" t="s">
        <v>196</v>
      </c>
      <c r="I511" s="60" t="s">
        <v>19</v>
      </c>
      <c r="J511" s="60">
        <v>1921000</v>
      </c>
      <c r="K511" s="60"/>
    </row>
    <row r="512" spans="1:11" ht="30" customHeight="1" x14ac:dyDescent="0.25">
      <c r="A512" s="60">
        <v>511</v>
      </c>
      <c r="B512" s="60">
        <v>220934034</v>
      </c>
      <c r="C512" s="60" t="s">
        <v>1296</v>
      </c>
      <c r="D512" s="60">
        <v>9.1199999999999992</v>
      </c>
      <c r="E512" s="60">
        <v>9689922530</v>
      </c>
      <c r="F512" s="60" t="s">
        <v>1297</v>
      </c>
      <c r="G512" s="60" t="s">
        <v>1139</v>
      </c>
      <c r="H512" s="60" t="s">
        <v>198</v>
      </c>
      <c r="I512" s="60" t="s">
        <v>19</v>
      </c>
      <c r="J512" s="60">
        <v>1050000</v>
      </c>
      <c r="K512" s="60"/>
    </row>
    <row r="513" spans="1:11" ht="30" customHeight="1" x14ac:dyDescent="0.25">
      <c r="A513" s="60">
        <v>512</v>
      </c>
      <c r="B513" s="60">
        <v>220934050</v>
      </c>
      <c r="C513" s="60" t="s">
        <v>1298</v>
      </c>
      <c r="D513" s="60">
        <v>6.77</v>
      </c>
      <c r="E513" s="60">
        <v>8810500612</v>
      </c>
      <c r="F513" s="60" t="s">
        <v>1299</v>
      </c>
      <c r="G513" s="60" t="s">
        <v>1139</v>
      </c>
      <c r="H513" s="60" t="s">
        <v>198</v>
      </c>
      <c r="I513" s="60" t="s">
        <v>19</v>
      </c>
      <c r="J513" s="60">
        <v>1050000</v>
      </c>
      <c r="K513" s="60"/>
    </row>
    <row r="514" spans="1:11" ht="30" customHeight="1" x14ac:dyDescent="0.25">
      <c r="A514" s="60">
        <v>513</v>
      </c>
      <c r="B514" s="60">
        <v>200934048</v>
      </c>
      <c r="C514" s="60" t="s">
        <v>1300</v>
      </c>
      <c r="D514" s="60">
        <v>6.71</v>
      </c>
      <c r="E514" s="60">
        <v>9108174064</v>
      </c>
      <c r="F514" s="60" t="s">
        <v>1301</v>
      </c>
      <c r="G514" s="60" t="s">
        <v>1139</v>
      </c>
      <c r="H514" s="60" t="s">
        <v>198</v>
      </c>
      <c r="I514" s="60" t="s">
        <v>19</v>
      </c>
      <c r="J514" s="60">
        <v>1050000</v>
      </c>
      <c r="K514" s="60"/>
    </row>
    <row r="515" spans="1:11" ht="30" customHeight="1" x14ac:dyDescent="0.25">
      <c r="A515" s="60">
        <v>514</v>
      </c>
      <c r="B515" s="60">
        <v>220906526</v>
      </c>
      <c r="C515" s="60" t="s">
        <v>1302</v>
      </c>
      <c r="D515" s="60">
        <v>7.34</v>
      </c>
      <c r="E515" s="60">
        <v>9382377169</v>
      </c>
      <c r="F515" s="60" t="s">
        <v>1303</v>
      </c>
      <c r="G515" s="60" t="s">
        <v>478</v>
      </c>
      <c r="H515" s="60" t="s">
        <v>198</v>
      </c>
      <c r="I515" s="60" t="s">
        <v>19</v>
      </c>
      <c r="J515" s="60">
        <v>1050000</v>
      </c>
      <c r="K515" s="60"/>
    </row>
    <row r="516" spans="1:11" ht="30" customHeight="1" x14ac:dyDescent="0.25">
      <c r="A516" s="60">
        <v>515</v>
      </c>
      <c r="B516" s="60">
        <v>220906524</v>
      </c>
      <c r="C516" s="60" t="s">
        <v>1304</v>
      </c>
      <c r="D516" s="60">
        <v>6.95</v>
      </c>
      <c r="E516" s="60">
        <v>6383089784</v>
      </c>
      <c r="F516" s="60" t="s">
        <v>1305</v>
      </c>
      <c r="G516" s="60" t="s">
        <v>478</v>
      </c>
      <c r="H516" s="60" t="s">
        <v>198</v>
      </c>
      <c r="I516" s="60" t="s">
        <v>19</v>
      </c>
      <c r="J516" s="60">
        <v>1050000</v>
      </c>
      <c r="K516" s="60"/>
    </row>
    <row r="517" spans="1:11" ht="30" customHeight="1" x14ac:dyDescent="0.25">
      <c r="A517" s="60">
        <v>516</v>
      </c>
      <c r="B517" s="60">
        <v>220929270</v>
      </c>
      <c r="C517" s="60" t="s">
        <v>1306</v>
      </c>
      <c r="D517" s="60">
        <v>9.16</v>
      </c>
      <c r="E517" s="60">
        <v>7977725123</v>
      </c>
      <c r="F517" s="60" t="s">
        <v>1307</v>
      </c>
      <c r="G517" s="60" t="s">
        <v>317</v>
      </c>
      <c r="H517" s="60" t="s">
        <v>198</v>
      </c>
      <c r="I517" s="60" t="s">
        <v>19</v>
      </c>
      <c r="J517" s="60">
        <v>1050000</v>
      </c>
      <c r="K517" s="60"/>
    </row>
    <row r="518" spans="1:11" ht="30" customHeight="1" x14ac:dyDescent="0.25">
      <c r="A518" s="60">
        <v>517</v>
      </c>
      <c r="B518" s="60">
        <v>220929116</v>
      </c>
      <c r="C518" s="60" t="s">
        <v>1308</v>
      </c>
      <c r="D518" s="60">
        <v>8.82</v>
      </c>
      <c r="E518" s="60">
        <v>9830197017</v>
      </c>
      <c r="F518" s="60" t="s">
        <v>1309</v>
      </c>
      <c r="G518" s="60" t="s">
        <v>317</v>
      </c>
      <c r="H518" s="60" t="s">
        <v>198</v>
      </c>
      <c r="I518" s="60" t="s">
        <v>19</v>
      </c>
      <c r="J518" s="60">
        <v>1050000</v>
      </c>
      <c r="K518" s="60"/>
    </row>
    <row r="519" spans="1:11" ht="30" customHeight="1" x14ac:dyDescent="0.25">
      <c r="A519" s="60">
        <v>518</v>
      </c>
      <c r="B519" s="60">
        <v>220929288</v>
      </c>
      <c r="C519" s="60" t="s">
        <v>1310</v>
      </c>
      <c r="D519" s="60">
        <v>8.2100000000000009</v>
      </c>
      <c r="E519" s="60">
        <v>9108595146</v>
      </c>
      <c r="F519" s="60" t="s">
        <v>1311</v>
      </c>
      <c r="G519" s="60" t="s">
        <v>317</v>
      </c>
      <c r="H519" s="60" t="s">
        <v>198</v>
      </c>
      <c r="I519" s="60" t="s">
        <v>19</v>
      </c>
      <c r="J519" s="60">
        <v>1050000</v>
      </c>
      <c r="K519" s="60"/>
    </row>
    <row r="520" spans="1:11" ht="30" customHeight="1" x14ac:dyDescent="0.25">
      <c r="A520" s="60">
        <v>519</v>
      </c>
      <c r="B520" s="60">
        <v>220929132</v>
      </c>
      <c r="C520" s="60" t="s">
        <v>1312</v>
      </c>
      <c r="D520" s="60">
        <v>8.02</v>
      </c>
      <c r="E520" s="60">
        <v>9663945330</v>
      </c>
      <c r="F520" s="60" t="s">
        <v>1313</v>
      </c>
      <c r="G520" s="60" t="s">
        <v>317</v>
      </c>
      <c r="H520" s="60" t="s">
        <v>198</v>
      </c>
      <c r="I520" s="60" t="s">
        <v>19</v>
      </c>
      <c r="J520" s="60">
        <v>1050000</v>
      </c>
      <c r="K520" s="60"/>
    </row>
    <row r="521" spans="1:11" ht="30" customHeight="1" x14ac:dyDescent="0.25">
      <c r="A521" s="60">
        <v>520</v>
      </c>
      <c r="B521" s="60">
        <v>220929188</v>
      </c>
      <c r="C521" s="60" t="s">
        <v>1314</v>
      </c>
      <c r="D521" s="60">
        <v>7.6</v>
      </c>
      <c r="E521" s="60">
        <v>9356706834</v>
      </c>
      <c r="F521" s="60" t="s">
        <v>1315</v>
      </c>
      <c r="G521" s="60" t="s">
        <v>317</v>
      </c>
      <c r="H521" s="60" t="s">
        <v>198</v>
      </c>
      <c r="I521" s="60" t="s">
        <v>19</v>
      </c>
      <c r="J521" s="60">
        <v>1050000</v>
      </c>
      <c r="K521" s="60"/>
    </row>
    <row r="522" spans="1:11" ht="30" customHeight="1" x14ac:dyDescent="0.25">
      <c r="A522" s="60">
        <v>521</v>
      </c>
      <c r="B522" s="60">
        <v>220929142</v>
      </c>
      <c r="C522" s="60" t="s">
        <v>1316</v>
      </c>
      <c r="D522" s="60">
        <v>7.53</v>
      </c>
      <c r="E522" s="60">
        <v>7990049585</v>
      </c>
      <c r="F522" s="60" t="s">
        <v>1317</v>
      </c>
      <c r="G522" s="60" t="s">
        <v>317</v>
      </c>
      <c r="H522" s="60" t="s">
        <v>198</v>
      </c>
      <c r="I522" s="60" t="s">
        <v>19</v>
      </c>
      <c r="J522" s="60">
        <v>1050000</v>
      </c>
      <c r="K522" s="60"/>
    </row>
    <row r="523" spans="1:11" ht="30" customHeight="1" x14ac:dyDescent="0.25">
      <c r="A523" s="60">
        <v>522</v>
      </c>
      <c r="B523" s="60">
        <v>220929003</v>
      </c>
      <c r="C523" s="60" t="s">
        <v>1318</v>
      </c>
      <c r="D523" s="60">
        <v>7.38</v>
      </c>
      <c r="E523" s="60">
        <v>9686254214</v>
      </c>
      <c r="F523" s="60" t="s">
        <v>1319</v>
      </c>
      <c r="G523" s="60" t="s">
        <v>317</v>
      </c>
      <c r="H523" s="60" t="s">
        <v>198</v>
      </c>
      <c r="I523" s="60" t="s">
        <v>19</v>
      </c>
      <c r="J523" s="60">
        <v>1050000</v>
      </c>
      <c r="K523" s="60"/>
    </row>
    <row r="524" spans="1:11" ht="30" customHeight="1" x14ac:dyDescent="0.25">
      <c r="A524" s="60">
        <v>523</v>
      </c>
      <c r="B524" s="60">
        <v>220929266</v>
      </c>
      <c r="C524" s="60" t="s">
        <v>1320</v>
      </c>
      <c r="D524" s="60">
        <v>7.02</v>
      </c>
      <c r="E524" s="60">
        <v>9567754418</v>
      </c>
      <c r="F524" s="60" t="s">
        <v>1321</v>
      </c>
      <c r="G524" s="60" t="s">
        <v>317</v>
      </c>
      <c r="H524" s="60" t="s">
        <v>198</v>
      </c>
      <c r="I524" s="60" t="s">
        <v>19</v>
      </c>
      <c r="J524" s="60">
        <v>1050000</v>
      </c>
      <c r="K524" s="60"/>
    </row>
    <row r="525" spans="1:11" ht="30" customHeight="1" x14ac:dyDescent="0.25">
      <c r="A525" s="60">
        <v>524</v>
      </c>
      <c r="B525" s="60">
        <v>220929192</v>
      </c>
      <c r="C525" s="60" t="s">
        <v>1322</v>
      </c>
      <c r="D525" s="60">
        <v>6.36</v>
      </c>
      <c r="E525" s="60">
        <v>8146131218</v>
      </c>
      <c r="F525" s="60" t="s">
        <v>1323</v>
      </c>
      <c r="G525" s="60" t="s">
        <v>317</v>
      </c>
      <c r="H525" s="60" t="s">
        <v>198</v>
      </c>
      <c r="I525" s="60" t="s">
        <v>19</v>
      </c>
      <c r="J525" s="60">
        <v>1050000</v>
      </c>
      <c r="K525" s="60"/>
    </row>
    <row r="526" spans="1:11" ht="30" customHeight="1" x14ac:dyDescent="0.25">
      <c r="A526" s="60">
        <v>525</v>
      </c>
      <c r="B526" s="60">
        <v>220929204</v>
      </c>
      <c r="C526" s="60" t="s">
        <v>1324</v>
      </c>
      <c r="D526" s="60">
        <v>7.22</v>
      </c>
      <c r="E526" s="60">
        <v>9601717076</v>
      </c>
      <c r="F526" s="60" t="s">
        <v>1325</v>
      </c>
      <c r="G526" s="60" t="s">
        <v>317</v>
      </c>
      <c r="H526" s="60" t="s">
        <v>198</v>
      </c>
      <c r="I526" s="60" t="s">
        <v>19</v>
      </c>
      <c r="J526" s="60">
        <v>1050000</v>
      </c>
      <c r="K526" s="60"/>
    </row>
    <row r="527" spans="1:11" ht="30" customHeight="1" x14ac:dyDescent="0.25">
      <c r="A527" s="60">
        <v>526</v>
      </c>
      <c r="B527" s="60">
        <v>220929282</v>
      </c>
      <c r="C527" s="60" t="s">
        <v>1326</v>
      </c>
      <c r="D527" s="60">
        <v>6.81</v>
      </c>
      <c r="E527" s="60">
        <v>9871191775</v>
      </c>
      <c r="F527" s="60" t="s">
        <v>1327</v>
      </c>
      <c r="G527" s="60" t="s">
        <v>317</v>
      </c>
      <c r="H527" s="60" t="s">
        <v>198</v>
      </c>
      <c r="I527" s="60" t="s">
        <v>19</v>
      </c>
      <c r="J527" s="60">
        <v>1050000</v>
      </c>
      <c r="K527" s="60"/>
    </row>
    <row r="528" spans="1:11" ht="30" customHeight="1" x14ac:dyDescent="0.25">
      <c r="A528" s="60">
        <v>527</v>
      </c>
      <c r="B528" s="60">
        <v>220929076</v>
      </c>
      <c r="C528" s="60" t="s">
        <v>1328</v>
      </c>
      <c r="D528" s="60">
        <v>8.35</v>
      </c>
      <c r="E528" s="60">
        <v>7588231960</v>
      </c>
      <c r="F528" s="60" t="s">
        <v>1329</v>
      </c>
      <c r="G528" s="60" t="s">
        <v>317</v>
      </c>
      <c r="H528" s="60" t="s">
        <v>198</v>
      </c>
      <c r="I528" s="60" t="s">
        <v>19</v>
      </c>
      <c r="J528" s="60">
        <v>1050000</v>
      </c>
      <c r="K528" s="60"/>
    </row>
    <row r="529" spans="1:11" ht="30" customHeight="1" x14ac:dyDescent="0.25">
      <c r="A529" s="60">
        <v>528</v>
      </c>
      <c r="B529" s="60">
        <v>220907066</v>
      </c>
      <c r="C529" s="60" t="s">
        <v>1330</v>
      </c>
      <c r="D529" s="60">
        <v>9.6999999999999993</v>
      </c>
      <c r="E529" s="60">
        <v>9686206005</v>
      </c>
      <c r="F529" s="60" t="s">
        <v>1331</v>
      </c>
      <c r="G529" s="60" t="s">
        <v>277</v>
      </c>
      <c r="H529" s="60" t="s">
        <v>202</v>
      </c>
      <c r="I529" s="60" t="s">
        <v>19</v>
      </c>
      <c r="J529" s="60">
        <v>3174905</v>
      </c>
      <c r="K529" s="60"/>
    </row>
    <row r="530" spans="1:11" ht="30" customHeight="1" x14ac:dyDescent="0.25">
      <c r="A530" s="60">
        <v>529</v>
      </c>
      <c r="B530" s="60">
        <v>220932204</v>
      </c>
      <c r="C530" s="60" t="s">
        <v>1332</v>
      </c>
      <c r="D530" s="60">
        <v>6.79</v>
      </c>
      <c r="E530" s="60">
        <v>9380142463</v>
      </c>
      <c r="F530" s="60" t="s">
        <v>1333</v>
      </c>
      <c r="G530" s="60" t="s">
        <v>478</v>
      </c>
      <c r="H530" s="60" t="s">
        <v>203</v>
      </c>
      <c r="I530" s="60" t="s">
        <v>19</v>
      </c>
      <c r="J530" s="60">
        <v>800000</v>
      </c>
      <c r="K530" s="60"/>
    </row>
    <row r="531" spans="1:11" ht="30" customHeight="1" x14ac:dyDescent="0.25">
      <c r="A531" s="60">
        <v>530</v>
      </c>
      <c r="B531" s="60">
        <v>220909008</v>
      </c>
      <c r="C531" s="60" t="s">
        <v>1334</v>
      </c>
      <c r="D531" s="60">
        <v>8.49</v>
      </c>
      <c r="E531" s="60">
        <v>7899054966</v>
      </c>
      <c r="F531" s="60" t="s">
        <v>1335</v>
      </c>
      <c r="G531" s="60" t="s">
        <v>312</v>
      </c>
      <c r="H531" s="60" t="s">
        <v>204</v>
      </c>
      <c r="I531" s="60" t="s">
        <v>19</v>
      </c>
      <c r="J531" s="60">
        <v>850000</v>
      </c>
      <c r="K531" s="60"/>
    </row>
    <row r="532" spans="1:11" ht="30" customHeight="1" x14ac:dyDescent="0.25">
      <c r="A532" s="60">
        <v>531</v>
      </c>
      <c r="B532" s="60">
        <v>220909274</v>
      </c>
      <c r="C532" s="60" t="s">
        <v>1336</v>
      </c>
      <c r="D532" s="60">
        <v>7.09</v>
      </c>
      <c r="E532" s="60">
        <v>8434899555</v>
      </c>
      <c r="F532" s="60" t="s">
        <v>1337</v>
      </c>
      <c r="G532" s="60" t="s">
        <v>312</v>
      </c>
      <c r="H532" s="60" t="s">
        <v>204</v>
      </c>
      <c r="I532" s="60" t="s">
        <v>19</v>
      </c>
      <c r="J532" s="60">
        <v>850000</v>
      </c>
      <c r="K532" s="60"/>
    </row>
    <row r="533" spans="1:11" ht="30" customHeight="1" x14ac:dyDescent="0.25">
      <c r="A533" s="60">
        <v>532</v>
      </c>
      <c r="B533" s="60">
        <v>220962272</v>
      </c>
      <c r="C533" s="60" t="s">
        <v>1338</v>
      </c>
      <c r="D533" s="60">
        <v>7.9</v>
      </c>
      <c r="E533" s="60">
        <v>6352859344</v>
      </c>
      <c r="F533" s="60" t="s">
        <v>1339</v>
      </c>
      <c r="G533" s="60" t="s">
        <v>253</v>
      </c>
      <c r="H533" s="60" t="s">
        <v>208</v>
      </c>
      <c r="I533" s="60" t="s">
        <v>20</v>
      </c>
      <c r="J533" s="60">
        <v>1000000</v>
      </c>
      <c r="K533" s="60">
        <v>30000</v>
      </c>
    </row>
    <row r="534" spans="1:11" ht="30" customHeight="1" x14ac:dyDescent="0.25">
      <c r="A534" s="60">
        <v>533</v>
      </c>
      <c r="B534" s="60">
        <v>220906528</v>
      </c>
      <c r="C534" s="60" t="s">
        <v>1340</v>
      </c>
      <c r="D534" s="60">
        <v>6.39</v>
      </c>
      <c r="E534" s="60">
        <v>9987645395</v>
      </c>
      <c r="F534" s="60" t="s">
        <v>1341</v>
      </c>
      <c r="G534" s="60" t="s">
        <v>478</v>
      </c>
      <c r="H534" s="60" t="s">
        <v>210</v>
      </c>
      <c r="I534" s="60" t="s">
        <v>19</v>
      </c>
      <c r="J534" s="60">
        <v>800000</v>
      </c>
      <c r="K534" s="60"/>
    </row>
    <row r="535" spans="1:11" ht="30" customHeight="1" x14ac:dyDescent="0.25">
      <c r="A535" s="60">
        <v>534</v>
      </c>
      <c r="B535" s="60">
        <v>220909116</v>
      </c>
      <c r="C535" s="60" t="s">
        <v>1342</v>
      </c>
      <c r="D535" s="60">
        <v>6.34</v>
      </c>
      <c r="E535" s="60">
        <v>9923843075</v>
      </c>
      <c r="F535" s="60" t="s">
        <v>1343</v>
      </c>
      <c r="G535" s="60" t="s">
        <v>312</v>
      </c>
      <c r="H535" s="60" t="s">
        <v>210</v>
      </c>
      <c r="I535" s="60" t="s">
        <v>19</v>
      </c>
      <c r="J535" s="60">
        <v>800000</v>
      </c>
      <c r="K535" s="60"/>
    </row>
    <row r="536" spans="1:11" ht="30" customHeight="1" x14ac:dyDescent="0.25">
      <c r="A536" s="60">
        <v>535</v>
      </c>
      <c r="B536" s="60">
        <v>220933066</v>
      </c>
      <c r="C536" s="60" t="s">
        <v>1344</v>
      </c>
      <c r="D536" s="60">
        <v>8.84</v>
      </c>
      <c r="E536" s="60">
        <v>7702821219</v>
      </c>
      <c r="F536" s="60" t="s">
        <v>1345</v>
      </c>
      <c r="G536" s="60" t="s">
        <v>330</v>
      </c>
      <c r="H536" s="60" t="s">
        <v>1346</v>
      </c>
      <c r="I536" s="60" t="s">
        <v>19</v>
      </c>
      <c r="J536" s="60">
        <v>500000</v>
      </c>
      <c r="K536" s="60"/>
    </row>
    <row r="537" spans="1:11" ht="30" customHeight="1" x14ac:dyDescent="0.25">
      <c r="A537" s="60">
        <v>536</v>
      </c>
      <c r="B537" s="60">
        <v>220933144</v>
      </c>
      <c r="C537" s="60" t="s">
        <v>1347</v>
      </c>
      <c r="D537" s="60">
        <v>8.4</v>
      </c>
      <c r="E537" s="60">
        <v>8754544599</v>
      </c>
      <c r="F537" s="60" t="s">
        <v>1348</v>
      </c>
      <c r="G537" s="60" t="s">
        <v>330</v>
      </c>
      <c r="H537" s="60" t="s">
        <v>1346</v>
      </c>
      <c r="I537" s="60" t="s">
        <v>19</v>
      </c>
      <c r="J537" s="60">
        <v>500000</v>
      </c>
      <c r="K537" s="60"/>
    </row>
    <row r="538" spans="1:11" ht="30" customHeight="1" x14ac:dyDescent="0.25">
      <c r="A538" s="60">
        <v>537</v>
      </c>
      <c r="B538" s="60">
        <v>220933072</v>
      </c>
      <c r="C538" s="60" t="s">
        <v>1349</v>
      </c>
      <c r="D538" s="60">
        <v>8.18</v>
      </c>
      <c r="E538" s="60">
        <v>6362363760</v>
      </c>
      <c r="F538" s="60" t="s">
        <v>1350</v>
      </c>
      <c r="G538" s="60" t="s">
        <v>330</v>
      </c>
      <c r="H538" s="60" t="s">
        <v>1346</v>
      </c>
      <c r="I538" s="60" t="s">
        <v>19</v>
      </c>
      <c r="J538" s="60">
        <v>500000</v>
      </c>
      <c r="K538" s="60"/>
    </row>
    <row r="539" spans="1:11" ht="30" customHeight="1" x14ac:dyDescent="0.25">
      <c r="A539" s="60">
        <v>538</v>
      </c>
      <c r="B539" s="60">
        <v>220933106</v>
      </c>
      <c r="C539" s="60" t="s">
        <v>1351</v>
      </c>
      <c r="D539" s="60">
        <v>7.45</v>
      </c>
      <c r="E539" s="60">
        <v>6235735525</v>
      </c>
      <c r="F539" s="60" t="s">
        <v>1352</v>
      </c>
      <c r="G539" s="60" t="s">
        <v>330</v>
      </c>
      <c r="H539" s="60" t="s">
        <v>1346</v>
      </c>
      <c r="I539" s="60" t="s">
        <v>19</v>
      </c>
      <c r="J539" s="60">
        <v>500000</v>
      </c>
      <c r="K539" s="60"/>
    </row>
    <row r="540" spans="1:11" ht="30" customHeight="1" x14ac:dyDescent="0.25">
      <c r="A540" s="60">
        <v>539</v>
      </c>
      <c r="B540" s="60">
        <v>220933122</v>
      </c>
      <c r="C540" s="60" t="s">
        <v>1353</v>
      </c>
      <c r="D540" s="60">
        <v>6.4</v>
      </c>
      <c r="E540" s="60">
        <v>9467779110</v>
      </c>
      <c r="F540" s="60" t="s">
        <v>1354</v>
      </c>
      <c r="G540" s="60" t="s">
        <v>330</v>
      </c>
      <c r="H540" s="60" t="s">
        <v>1346</v>
      </c>
      <c r="I540" s="60" t="s">
        <v>19</v>
      </c>
      <c r="J540" s="60">
        <v>500000</v>
      </c>
      <c r="K540" s="60"/>
    </row>
    <row r="541" spans="1:11" ht="30" customHeight="1" x14ac:dyDescent="0.25">
      <c r="A541" s="60">
        <v>540</v>
      </c>
      <c r="B541" s="60">
        <v>220931002</v>
      </c>
      <c r="C541" s="60" t="s">
        <v>1355</v>
      </c>
      <c r="D541" s="60">
        <v>8.9600000000000009</v>
      </c>
      <c r="E541" s="60">
        <v>9900749787</v>
      </c>
      <c r="F541" s="60" t="s">
        <v>1356</v>
      </c>
      <c r="G541" s="60" t="s">
        <v>803</v>
      </c>
      <c r="H541" s="60" t="s">
        <v>49</v>
      </c>
      <c r="I541" s="60" t="s">
        <v>20</v>
      </c>
      <c r="J541" s="60">
        <v>2137000</v>
      </c>
      <c r="K541" s="60">
        <v>100000</v>
      </c>
    </row>
    <row r="542" spans="1:11" ht="30" customHeight="1" x14ac:dyDescent="0.25">
      <c r="A542" s="60">
        <v>541</v>
      </c>
      <c r="B542" s="60">
        <v>220929100</v>
      </c>
      <c r="C542" s="60" t="s">
        <v>1357</v>
      </c>
      <c r="D542" s="60">
        <v>8.15</v>
      </c>
      <c r="E542" s="60">
        <v>9403498773</v>
      </c>
      <c r="F542" s="60" t="s">
        <v>1358</v>
      </c>
      <c r="G542" s="60" t="s">
        <v>317</v>
      </c>
      <c r="H542" s="60" t="s">
        <v>49</v>
      </c>
      <c r="I542" s="60" t="s">
        <v>20</v>
      </c>
      <c r="J542" s="60">
        <v>2137000</v>
      </c>
      <c r="K542" s="60">
        <v>100000</v>
      </c>
    </row>
    <row r="543" spans="1:11" ht="30" customHeight="1" x14ac:dyDescent="0.25">
      <c r="A543" s="60">
        <v>542</v>
      </c>
      <c r="B543" s="60">
        <v>220906514</v>
      </c>
      <c r="C543" s="60" t="s">
        <v>1359</v>
      </c>
      <c r="D543" s="60">
        <v>6.5</v>
      </c>
      <c r="E543" s="60">
        <v>9953395064</v>
      </c>
      <c r="F543" s="60" t="s">
        <v>1360</v>
      </c>
      <c r="G543" s="60" t="s">
        <v>478</v>
      </c>
      <c r="H543" s="159" t="s">
        <v>211</v>
      </c>
      <c r="I543" s="60" t="s">
        <v>19</v>
      </c>
      <c r="J543" s="60">
        <v>800000</v>
      </c>
      <c r="K543" s="60"/>
    </row>
    <row r="544" spans="1:11" ht="30" customHeight="1" x14ac:dyDescent="0.25">
      <c r="A544" s="60">
        <v>543</v>
      </c>
      <c r="B544" s="60">
        <v>220932346</v>
      </c>
      <c r="C544" s="60" t="s">
        <v>1361</v>
      </c>
      <c r="D544" s="60">
        <v>6.91</v>
      </c>
      <c r="E544" s="60">
        <v>8219662989</v>
      </c>
      <c r="F544" s="60" t="s">
        <v>1362</v>
      </c>
      <c r="G544" s="60" t="s">
        <v>289</v>
      </c>
      <c r="H544" s="159" t="s">
        <v>211</v>
      </c>
      <c r="I544" s="60" t="s">
        <v>19</v>
      </c>
      <c r="J544" s="60">
        <v>800000</v>
      </c>
      <c r="K544" s="60"/>
    </row>
    <row r="545" spans="1:11" ht="30" customHeight="1" x14ac:dyDescent="0.25">
      <c r="A545" s="60">
        <v>544</v>
      </c>
      <c r="B545" s="60">
        <v>220909042</v>
      </c>
      <c r="C545" s="60" t="s">
        <v>1363</v>
      </c>
      <c r="D545" s="60">
        <v>7.72</v>
      </c>
      <c r="E545" s="60">
        <v>6309309391</v>
      </c>
      <c r="F545" s="60" t="s">
        <v>1364</v>
      </c>
      <c r="G545" s="60" t="s">
        <v>312</v>
      </c>
      <c r="H545" s="159" t="s">
        <v>211</v>
      </c>
      <c r="I545" s="60" t="s">
        <v>19</v>
      </c>
      <c r="J545" s="60">
        <v>800000</v>
      </c>
      <c r="K545" s="60"/>
    </row>
    <row r="546" spans="1:11" ht="30" customHeight="1" x14ac:dyDescent="0.25">
      <c r="A546" s="60">
        <v>545</v>
      </c>
      <c r="B546" s="60">
        <v>220909206</v>
      </c>
      <c r="C546" s="60" t="s">
        <v>1365</v>
      </c>
      <c r="D546" s="60">
        <v>6.93</v>
      </c>
      <c r="E546" s="60">
        <v>9987399415</v>
      </c>
      <c r="F546" s="60" t="s">
        <v>1366</v>
      </c>
      <c r="G546" s="60" t="s">
        <v>312</v>
      </c>
      <c r="H546" s="159" t="s">
        <v>211</v>
      </c>
      <c r="I546" s="60" t="s">
        <v>19</v>
      </c>
      <c r="J546" s="60">
        <v>800000</v>
      </c>
      <c r="K546" s="60"/>
    </row>
    <row r="547" spans="1:11" ht="30" customHeight="1" x14ac:dyDescent="0.25">
      <c r="A547" s="60">
        <v>546</v>
      </c>
      <c r="B547" s="60">
        <v>220953020</v>
      </c>
      <c r="C547" s="60" t="s">
        <v>1367</v>
      </c>
      <c r="D547" s="60">
        <v>6.85</v>
      </c>
      <c r="E547" s="60">
        <v>8360773826</v>
      </c>
      <c r="F547" s="60" t="s">
        <v>1368</v>
      </c>
      <c r="G547" s="60" t="s">
        <v>261</v>
      </c>
      <c r="H547" s="60" t="s">
        <v>212</v>
      </c>
      <c r="I547" s="60" t="s">
        <v>20</v>
      </c>
      <c r="J547" s="60">
        <v>600000</v>
      </c>
      <c r="K547" s="60">
        <v>25000</v>
      </c>
    </row>
    <row r="548" spans="1:11" ht="30" customHeight="1" x14ac:dyDescent="0.25">
      <c r="A548" s="60">
        <v>547</v>
      </c>
      <c r="B548" s="60">
        <v>220953226</v>
      </c>
      <c r="C548" s="60" t="s">
        <v>1369</v>
      </c>
      <c r="D548" s="60">
        <v>6.83</v>
      </c>
      <c r="E548" s="60">
        <v>9625805092</v>
      </c>
      <c r="F548" s="60" t="s">
        <v>1370</v>
      </c>
      <c r="G548" s="60" t="s">
        <v>261</v>
      </c>
      <c r="H548" s="60" t="s">
        <v>212</v>
      </c>
      <c r="I548" s="60" t="s">
        <v>20</v>
      </c>
      <c r="J548" s="60">
        <v>600000</v>
      </c>
      <c r="K548" s="60">
        <v>25000</v>
      </c>
    </row>
    <row r="549" spans="1:11" ht="30" customHeight="1" x14ac:dyDescent="0.25">
      <c r="A549" s="60">
        <v>548</v>
      </c>
      <c r="B549" s="60">
        <v>220911560</v>
      </c>
      <c r="C549" s="60" t="s">
        <v>1371</v>
      </c>
      <c r="D549" s="60">
        <v>7.34</v>
      </c>
      <c r="E549" s="60">
        <v>8329668294</v>
      </c>
      <c r="F549" s="60" t="s">
        <v>1372</v>
      </c>
      <c r="G549" s="60" t="s">
        <v>274</v>
      </c>
      <c r="H549" s="60" t="s">
        <v>212</v>
      </c>
      <c r="I549" s="60" t="s">
        <v>20</v>
      </c>
      <c r="J549" s="60">
        <v>600000</v>
      </c>
      <c r="K549" s="60">
        <v>25000</v>
      </c>
    </row>
    <row r="550" spans="1:11" ht="30" customHeight="1" x14ac:dyDescent="0.25">
      <c r="A550" s="60">
        <v>549</v>
      </c>
      <c r="B550" s="60">
        <v>220953608</v>
      </c>
      <c r="C550" s="60" t="s">
        <v>1373</v>
      </c>
      <c r="D550" s="60">
        <v>7.38</v>
      </c>
      <c r="E550" s="60">
        <v>8639395027</v>
      </c>
      <c r="F550" s="60" t="s">
        <v>1374</v>
      </c>
      <c r="G550" s="60" t="s">
        <v>261</v>
      </c>
      <c r="H550" s="60" t="s">
        <v>213</v>
      </c>
      <c r="I550" s="60" t="s">
        <v>20</v>
      </c>
      <c r="J550" s="60">
        <v>1750000</v>
      </c>
      <c r="K550" s="60">
        <v>70000</v>
      </c>
    </row>
    <row r="551" spans="1:11" ht="30" customHeight="1" x14ac:dyDescent="0.25">
      <c r="A551" s="60">
        <v>550</v>
      </c>
      <c r="B551" s="60">
        <v>220905508</v>
      </c>
      <c r="C551" s="60" t="s">
        <v>1375</v>
      </c>
      <c r="D551" s="60">
        <v>6.3</v>
      </c>
      <c r="E551" s="60">
        <v>9515118012</v>
      </c>
      <c r="F551" s="60" t="s">
        <v>1376</v>
      </c>
      <c r="G551" s="60" t="s">
        <v>256</v>
      </c>
      <c r="H551" s="60" t="s">
        <v>213</v>
      </c>
      <c r="I551" s="60" t="s">
        <v>20</v>
      </c>
      <c r="J551" s="60">
        <v>1750000</v>
      </c>
      <c r="K551" s="60">
        <v>70000</v>
      </c>
    </row>
    <row r="552" spans="1:11" ht="30" customHeight="1" x14ac:dyDescent="0.25">
      <c r="A552" s="60">
        <v>551</v>
      </c>
      <c r="B552" s="60">
        <v>220909068</v>
      </c>
      <c r="C552" s="60" t="s">
        <v>1377</v>
      </c>
      <c r="D552" s="60">
        <v>8.49</v>
      </c>
      <c r="E552" s="60">
        <v>8460730945</v>
      </c>
      <c r="F552" s="60" t="s">
        <v>1378</v>
      </c>
      <c r="G552" s="60" t="s">
        <v>312</v>
      </c>
      <c r="H552" s="60" t="s">
        <v>213</v>
      </c>
      <c r="I552" s="60" t="s">
        <v>20</v>
      </c>
      <c r="J552" s="60">
        <v>1750000</v>
      </c>
      <c r="K552" s="60">
        <v>70000</v>
      </c>
    </row>
    <row r="553" spans="1:11" ht="30" customHeight="1" x14ac:dyDescent="0.25">
      <c r="A553" s="60">
        <v>552</v>
      </c>
      <c r="B553" s="60">
        <v>220909050</v>
      </c>
      <c r="C553" s="60" t="s">
        <v>1379</v>
      </c>
      <c r="D553" s="60">
        <v>8.2100000000000009</v>
      </c>
      <c r="E553" s="60">
        <v>7386062646</v>
      </c>
      <c r="F553" s="60" t="s">
        <v>1380</v>
      </c>
      <c r="G553" s="60" t="s">
        <v>312</v>
      </c>
      <c r="H553" s="60" t="s">
        <v>213</v>
      </c>
      <c r="I553" s="60" t="s">
        <v>20</v>
      </c>
      <c r="J553" s="60">
        <v>1750000</v>
      </c>
      <c r="K553" s="60">
        <v>70000</v>
      </c>
    </row>
    <row r="554" spans="1:11" ht="30" customHeight="1" x14ac:dyDescent="0.25">
      <c r="A554" s="60">
        <v>553</v>
      </c>
      <c r="B554" s="159">
        <v>220905146</v>
      </c>
      <c r="C554" s="159" t="s">
        <v>1381</v>
      </c>
      <c r="D554" s="160">
        <v>6.28</v>
      </c>
      <c r="E554" s="159">
        <v>8799782189</v>
      </c>
      <c r="F554" s="159" t="s">
        <v>1382</v>
      </c>
      <c r="G554" s="159" t="s">
        <v>256</v>
      </c>
      <c r="H554" s="60" t="s">
        <v>1383</v>
      </c>
      <c r="I554" s="60" t="s">
        <v>20</v>
      </c>
      <c r="J554" s="60">
        <v>600000</v>
      </c>
      <c r="K554" s="60">
        <v>35000</v>
      </c>
    </row>
    <row r="555" spans="1:11" ht="30" customHeight="1" x14ac:dyDescent="0.25">
      <c r="A555" s="60">
        <v>554</v>
      </c>
      <c r="B555" s="159">
        <v>220911542</v>
      </c>
      <c r="C555" s="159" t="s">
        <v>1384</v>
      </c>
      <c r="D555" s="160">
        <v>6.4</v>
      </c>
      <c r="E555" s="159">
        <v>8179172244</v>
      </c>
      <c r="F555" s="159" t="s">
        <v>1385</v>
      </c>
      <c r="G555" s="159" t="s">
        <v>274</v>
      </c>
      <c r="H555" s="60" t="s">
        <v>1383</v>
      </c>
      <c r="I555" s="60" t="s">
        <v>20</v>
      </c>
      <c r="J555" s="60">
        <v>600000</v>
      </c>
      <c r="K555" s="60">
        <v>35000</v>
      </c>
    </row>
    <row r="556" spans="1:11" ht="30" customHeight="1" x14ac:dyDescent="0.25">
      <c r="A556" s="60">
        <v>555</v>
      </c>
      <c r="B556" s="60">
        <v>220902028</v>
      </c>
      <c r="C556" s="60" t="s">
        <v>1386</v>
      </c>
      <c r="D556" s="60">
        <v>7.77</v>
      </c>
      <c r="E556" s="60">
        <v>9741996857</v>
      </c>
      <c r="F556" s="60" t="s">
        <v>1387</v>
      </c>
      <c r="G556" s="60" t="s">
        <v>1388</v>
      </c>
      <c r="H556" s="60" t="s">
        <v>80</v>
      </c>
      <c r="I556" s="60" t="s">
        <v>20</v>
      </c>
      <c r="J556" s="60">
        <v>850000</v>
      </c>
      <c r="K556" s="60">
        <v>25000</v>
      </c>
    </row>
    <row r="557" spans="1:11" ht="30" customHeight="1" x14ac:dyDescent="0.25">
      <c r="A557" s="60">
        <v>556</v>
      </c>
      <c r="B557" s="60">
        <v>220962372</v>
      </c>
      <c r="C557" s="60" t="s">
        <v>1389</v>
      </c>
      <c r="D557" s="60">
        <v>7.65</v>
      </c>
      <c r="E557" s="60">
        <v>9560752299</v>
      </c>
      <c r="F557" s="60" t="s">
        <v>1390</v>
      </c>
      <c r="G557" s="60" t="s">
        <v>253</v>
      </c>
      <c r="H557" s="60" t="s">
        <v>219</v>
      </c>
      <c r="I557" s="60" t="s">
        <v>20</v>
      </c>
      <c r="J557" s="60">
        <v>850000</v>
      </c>
      <c r="K557" s="60">
        <v>15000</v>
      </c>
    </row>
    <row r="558" spans="1:11" ht="30" customHeight="1" x14ac:dyDescent="0.25">
      <c r="A558" s="60">
        <v>557</v>
      </c>
      <c r="B558" s="60">
        <v>220932222</v>
      </c>
      <c r="C558" s="159" t="s">
        <v>1391</v>
      </c>
      <c r="D558" s="60">
        <v>7.6</v>
      </c>
      <c r="E558" s="60">
        <v>9486606989</v>
      </c>
      <c r="F558" s="60" t="s">
        <v>1392</v>
      </c>
      <c r="G558" s="60" t="s">
        <v>289</v>
      </c>
      <c r="H558" s="60" t="s">
        <v>219</v>
      </c>
      <c r="I558" s="60" t="s">
        <v>20</v>
      </c>
      <c r="J558" s="60">
        <v>850000</v>
      </c>
      <c r="K558" s="60">
        <v>15000</v>
      </c>
    </row>
    <row r="559" spans="1:11" ht="30" customHeight="1" x14ac:dyDescent="0.25">
      <c r="A559" s="60">
        <v>558</v>
      </c>
      <c r="B559" s="60">
        <v>220906024</v>
      </c>
      <c r="C559" s="60" t="s">
        <v>1393</v>
      </c>
      <c r="D559" s="60">
        <v>6.12</v>
      </c>
      <c r="E559" s="60">
        <v>8235620184</v>
      </c>
      <c r="F559" s="60" t="s">
        <v>1394</v>
      </c>
      <c r="G559" s="60" t="s">
        <v>478</v>
      </c>
      <c r="H559" s="60" t="s">
        <v>220</v>
      </c>
      <c r="I559" s="60" t="s">
        <v>20</v>
      </c>
      <c r="J559" s="60">
        <v>600000</v>
      </c>
      <c r="K559" s="60">
        <v>20000</v>
      </c>
    </row>
    <row r="560" spans="1:11" ht="30" customHeight="1" x14ac:dyDescent="0.25">
      <c r="A560" s="60">
        <v>559</v>
      </c>
      <c r="B560" s="60">
        <v>210904010</v>
      </c>
      <c r="C560" s="60" t="s">
        <v>1395</v>
      </c>
      <c r="D560" s="60">
        <v>6.54</v>
      </c>
      <c r="E560" s="60">
        <v>9967377132</v>
      </c>
      <c r="F560" s="60" t="s">
        <v>1396</v>
      </c>
      <c r="G560" s="60" t="s">
        <v>1397</v>
      </c>
      <c r="H560" s="60" t="s">
        <v>220</v>
      </c>
      <c r="I560" s="60" t="s">
        <v>20</v>
      </c>
      <c r="J560" s="60">
        <v>600000</v>
      </c>
      <c r="K560" s="60">
        <v>20000</v>
      </c>
    </row>
    <row r="561" spans="1:11" ht="30" customHeight="1" x14ac:dyDescent="0.25">
      <c r="A561" s="60">
        <v>560</v>
      </c>
      <c r="B561" s="60">
        <v>220904066</v>
      </c>
      <c r="C561" s="60" t="s">
        <v>1398</v>
      </c>
      <c r="D561" s="60">
        <v>6.68</v>
      </c>
      <c r="E561" s="60">
        <v>9961439880</v>
      </c>
      <c r="F561" s="60" t="s">
        <v>1399</v>
      </c>
      <c r="G561" s="60" t="s">
        <v>1397</v>
      </c>
      <c r="H561" s="60" t="s">
        <v>220</v>
      </c>
      <c r="I561" s="60" t="s">
        <v>20</v>
      </c>
      <c r="J561" s="60">
        <v>600000</v>
      </c>
      <c r="K561" s="60">
        <v>20000</v>
      </c>
    </row>
    <row r="562" spans="1:11" ht="30" customHeight="1" x14ac:dyDescent="0.25">
      <c r="A562" s="60">
        <v>561</v>
      </c>
      <c r="B562" s="60">
        <v>220968314</v>
      </c>
      <c r="C562" s="60" t="s">
        <v>1400</v>
      </c>
      <c r="D562" s="60">
        <v>6.94</v>
      </c>
      <c r="E562" s="60">
        <v>8059635902</v>
      </c>
      <c r="F562" s="60" t="s">
        <v>1401</v>
      </c>
      <c r="G562" s="60" t="s">
        <v>384</v>
      </c>
      <c r="H562" s="60" t="s">
        <v>221</v>
      </c>
      <c r="I562" s="60" t="s">
        <v>20</v>
      </c>
      <c r="J562" s="60">
        <v>900000</v>
      </c>
      <c r="K562" s="60">
        <v>15000</v>
      </c>
    </row>
    <row r="563" spans="1:11" ht="30" customHeight="1" x14ac:dyDescent="0.25">
      <c r="A563" s="60">
        <v>562</v>
      </c>
      <c r="B563" s="60">
        <v>220968248</v>
      </c>
      <c r="C563" s="60" t="s">
        <v>1402</v>
      </c>
      <c r="D563" s="60">
        <v>6.64</v>
      </c>
      <c r="E563" s="60">
        <v>8976451083</v>
      </c>
      <c r="F563" s="60" t="s">
        <v>1403</v>
      </c>
      <c r="G563" s="60" t="s">
        <v>384</v>
      </c>
      <c r="H563" s="60" t="s">
        <v>221</v>
      </c>
      <c r="I563" s="60" t="s">
        <v>20</v>
      </c>
      <c r="J563" s="60">
        <v>900000</v>
      </c>
      <c r="K563" s="60">
        <v>15000</v>
      </c>
    </row>
    <row r="564" spans="1:11" ht="30" customHeight="1" x14ac:dyDescent="0.25">
      <c r="A564" s="60">
        <v>563</v>
      </c>
      <c r="B564" s="60">
        <v>220962358</v>
      </c>
      <c r="C564" s="60" t="s">
        <v>1404</v>
      </c>
      <c r="D564" s="60">
        <v>7.67</v>
      </c>
      <c r="E564" s="60">
        <v>9391293594</v>
      </c>
      <c r="F564" s="60" t="s">
        <v>1405</v>
      </c>
      <c r="G564" s="60" t="s">
        <v>253</v>
      </c>
      <c r="H564" s="60" t="s">
        <v>222</v>
      </c>
      <c r="I564" s="60" t="s">
        <v>20</v>
      </c>
      <c r="J564" s="60">
        <v>1100000</v>
      </c>
      <c r="K564" s="60">
        <v>30000</v>
      </c>
    </row>
    <row r="565" spans="1:11" ht="30" customHeight="1" x14ac:dyDescent="0.25">
      <c r="A565" s="60">
        <v>564</v>
      </c>
      <c r="B565" s="60">
        <v>220953622</v>
      </c>
      <c r="C565" s="60" t="s">
        <v>874</v>
      </c>
      <c r="D565" s="60">
        <v>7.7</v>
      </c>
      <c r="E565" s="60">
        <v>9620888897</v>
      </c>
      <c r="F565" s="60" t="s">
        <v>875</v>
      </c>
      <c r="G565" s="60" t="s">
        <v>261</v>
      </c>
      <c r="H565" s="60" t="s">
        <v>1406</v>
      </c>
      <c r="I565" s="60" t="s">
        <v>20</v>
      </c>
      <c r="J565" s="60">
        <v>950000</v>
      </c>
      <c r="K565" s="60">
        <v>41666</v>
      </c>
    </row>
    <row r="566" spans="1:11" ht="30" customHeight="1" x14ac:dyDescent="0.25">
      <c r="A566" s="60">
        <v>565</v>
      </c>
      <c r="B566" s="60">
        <v>220953009</v>
      </c>
      <c r="C566" s="60" t="s">
        <v>1407</v>
      </c>
      <c r="D566" s="60">
        <v>7.45</v>
      </c>
      <c r="E566" s="60">
        <v>9886563894</v>
      </c>
      <c r="F566" s="60" t="s">
        <v>1408</v>
      </c>
      <c r="G566" s="60" t="s">
        <v>261</v>
      </c>
      <c r="H566" s="60" t="s">
        <v>1406</v>
      </c>
      <c r="I566" s="60" t="s">
        <v>20</v>
      </c>
      <c r="J566" s="60">
        <v>950000</v>
      </c>
      <c r="K566" s="60">
        <v>41666</v>
      </c>
    </row>
    <row r="567" spans="1:11" ht="30" customHeight="1" x14ac:dyDescent="0.25">
      <c r="A567" s="60">
        <v>566</v>
      </c>
      <c r="B567" s="60">
        <v>220961146</v>
      </c>
      <c r="C567" s="60" t="s">
        <v>1409</v>
      </c>
      <c r="D567" s="60">
        <v>7.44</v>
      </c>
      <c r="E567" s="60">
        <v>9359476076</v>
      </c>
      <c r="F567" s="60" t="s">
        <v>1410</v>
      </c>
      <c r="G567" s="60" t="s">
        <v>541</v>
      </c>
      <c r="H567" s="60" t="s">
        <v>1406</v>
      </c>
      <c r="I567" s="60" t="s">
        <v>20</v>
      </c>
      <c r="J567" s="60">
        <v>950000</v>
      </c>
      <c r="K567" s="60">
        <v>41666</v>
      </c>
    </row>
    <row r="568" spans="1:11" ht="30" customHeight="1" x14ac:dyDescent="0.25">
      <c r="A568" s="60">
        <v>567</v>
      </c>
      <c r="B568" s="60">
        <v>220907610</v>
      </c>
      <c r="C568" s="60" t="s">
        <v>1411</v>
      </c>
      <c r="D568" s="60">
        <v>7.17</v>
      </c>
      <c r="E568" s="60">
        <v>8887552311</v>
      </c>
      <c r="F568" s="60" t="s">
        <v>1412</v>
      </c>
      <c r="G568" s="60" t="s">
        <v>277</v>
      </c>
      <c r="H568" s="60" t="s">
        <v>1406</v>
      </c>
      <c r="I568" s="60" t="s">
        <v>20</v>
      </c>
      <c r="J568" s="60">
        <v>950000</v>
      </c>
      <c r="K568" s="60">
        <v>41666</v>
      </c>
    </row>
    <row r="569" spans="1:11" ht="30" customHeight="1" x14ac:dyDescent="0.25">
      <c r="A569" s="60">
        <v>568</v>
      </c>
      <c r="B569" s="60">
        <v>220911584</v>
      </c>
      <c r="C569" s="60" t="s">
        <v>1413</v>
      </c>
      <c r="D569" s="60">
        <v>7.57</v>
      </c>
      <c r="E569" s="60">
        <v>8459266602</v>
      </c>
      <c r="F569" s="60" t="s">
        <v>1414</v>
      </c>
      <c r="G569" s="60" t="s">
        <v>274</v>
      </c>
      <c r="H569" s="60" t="s">
        <v>1406</v>
      </c>
      <c r="I569" s="60" t="s">
        <v>20</v>
      </c>
      <c r="J569" s="60">
        <v>950000</v>
      </c>
      <c r="K569" s="60">
        <v>41666</v>
      </c>
    </row>
    <row r="570" spans="1:11" ht="30" customHeight="1" x14ac:dyDescent="0.25">
      <c r="A570" s="60">
        <v>569</v>
      </c>
      <c r="B570" s="60">
        <v>220904060</v>
      </c>
      <c r="C570" s="60" t="s">
        <v>1415</v>
      </c>
      <c r="D570" s="60">
        <v>8.83</v>
      </c>
      <c r="E570" s="60">
        <v>9014785790</v>
      </c>
      <c r="F570" s="60" t="s">
        <v>1416</v>
      </c>
      <c r="G570" s="60" t="s">
        <v>1397</v>
      </c>
      <c r="H570" s="60" t="s">
        <v>230</v>
      </c>
      <c r="I570" s="60" t="s">
        <v>19</v>
      </c>
      <c r="J570" s="60">
        <v>525000</v>
      </c>
      <c r="K570" s="60"/>
    </row>
    <row r="571" spans="1:11" ht="30" customHeight="1" x14ac:dyDescent="0.25">
      <c r="A571" s="60">
        <v>570</v>
      </c>
      <c r="B571" s="60">
        <v>220904054</v>
      </c>
      <c r="C571" s="60" t="s">
        <v>1417</v>
      </c>
      <c r="D571" s="60">
        <v>8.6199999999999992</v>
      </c>
      <c r="E571" s="60">
        <v>8935869986</v>
      </c>
      <c r="F571" s="60" t="s">
        <v>1418</v>
      </c>
      <c r="G571" s="60" t="s">
        <v>1397</v>
      </c>
      <c r="H571" s="60" t="s">
        <v>230</v>
      </c>
      <c r="I571" s="60" t="s">
        <v>19</v>
      </c>
      <c r="J571" s="60">
        <v>525000</v>
      </c>
      <c r="K571" s="60"/>
    </row>
    <row r="572" spans="1:11" ht="30" customHeight="1" x14ac:dyDescent="0.25">
      <c r="A572" s="60">
        <v>571</v>
      </c>
      <c r="B572" s="60">
        <v>220904038</v>
      </c>
      <c r="C572" s="60" t="s">
        <v>1419</v>
      </c>
      <c r="D572" s="60">
        <v>7.67</v>
      </c>
      <c r="E572" s="60">
        <v>8077522359</v>
      </c>
      <c r="F572" s="60" t="s">
        <v>1420</v>
      </c>
      <c r="G572" s="60" t="s">
        <v>1397</v>
      </c>
      <c r="H572" s="60" t="s">
        <v>230</v>
      </c>
      <c r="I572" s="60" t="s">
        <v>19</v>
      </c>
      <c r="J572" s="60">
        <v>525000</v>
      </c>
      <c r="K572" s="60"/>
    </row>
    <row r="573" spans="1:11" ht="30" customHeight="1" x14ac:dyDescent="0.25">
      <c r="A573" s="60">
        <v>572</v>
      </c>
      <c r="B573" s="60">
        <v>220904070</v>
      </c>
      <c r="C573" s="60" t="s">
        <v>1421</v>
      </c>
      <c r="D573" s="60">
        <v>8.86</v>
      </c>
      <c r="E573" s="60">
        <v>8882624472</v>
      </c>
      <c r="F573" s="60" t="s">
        <v>1422</v>
      </c>
      <c r="G573" s="60" t="s">
        <v>1397</v>
      </c>
      <c r="H573" s="60" t="s">
        <v>1423</v>
      </c>
      <c r="I573" s="60" t="s">
        <v>19</v>
      </c>
      <c r="J573" s="60">
        <v>703000</v>
      </c>
      <c r="K573" s="60"/>
    </row>
    <row r="574" spans="1:11" ht="30" customHeight="1" x14ac:dyDescent="0.25">
      <c r="A574" s="60">
        <v>573</v>
      </c>
      <c r="B574" s="60">
        <v>220904072</v>
      </c>
      <c r="C574" s="60" t="s">
        <v>1424</v>
      </c>
      <c r="D574" s="60">
        <v>7.68</v>
      </c>
      <c r="E574" s="60">
        <v>9113945306</v>
      </c>
      <c r="F574" s="60" t="s">
        <v>1425</v>
      </c>
      <c r="G574" s="60" t="s">
        <v>1397</v>
      </c>
      <c r="H574" s="60" t="s">
        <v>1423</v>
      </c>
      <c r="I574" s="60" t="s">
        <v>19</v>
      </c>
      <c r="J574" s="60">
        <v>703000</v>
      </c>
      <c r="K574" s="60"/>
    </row>
    <row r="575" spans="1:11" ht="30" customHeight="1" x14ac:dyDescent="0.25">
      <c r="A575" s="60">
        <v>574</v>
      </c>
      <c r="B575" s="60">
        <v>220904100</v>
      </c>
      <c r="C575" s="60" t="s">
        <v>1426</v>
      </c>
      <c r="D575" s="60">
        <v>7.38</v>
      </c>
      <c r="E575" s="60">
        <v>7205059179</v>
      </c>
      <c r="F575" s="60" t="s">
        <v>1427</v>
      </c>
      <c r="G575" s="60" t="s">
        <v>1397</v>
      </c>
      <c r="H575" s="60" t="s">
        <v>1423</v>
      </c>
      <c r="I575" s="60" t="s">
        <v>19</v>
      </c>
      <c r="J575" s="60">
        <v>703000</v>
      </c>
      <c r="K575" s="60"/>
    </row>
    <row r="576" spans="1:11" ht="30" customHeight="1" x14ac:dyDescent="0.25">
      <c r="A576" s="60">
        <v>575</v>
      </c>
      <c r="B576" s="60">
        <v>220906018</v>
      </c>
      <c r="C576" s="60" t="s">
        <v>1428</v>
      </c>
      <c r="D576" s="60">
        <v>7.76</v>
      </c>
      <c r="E576" s="60">
        <v>8088200182</v>
      </c>
      <c r="F576" s="60" t="s">
        <v>1429</v>
      </c>
      <c r="G576" s="60" t="s">
        <v>478</v>
      </c>
      <c r="H576" s="60" t="s">
        <v>236</v>
      </c>
      <c r="I576" s="60" t="s">
        <v>19</v>
      </c>
      <c r="J576" s="60">
        <v>1200000</v>
      </c>
      <c r="K576" s="60"/>
    </row>
    <row r="577" spans="1:11" ht="30" customHeight="1" x14ac:dyDescent="0.25">
      <c r="A577" s="60">
        <v>576</v>
      </c>
      <c r="B577" s="60">
        <v>220932360</v>
      </c>
      <c r="C577" s="60" t="s">
        <v>1430</v>
      </c>
      <c r="D577" s="60">
        <v>7.05</v>
      </c>
      <c r="E577" s="60">
        <v>8851948246</v>
      </c>
      <c r="F577" s="60" t="s">
        <v>1431</v>
      </c>
      <c r="G577" s="60" t="s">
        <v>289</v>
      </c>
      <c r="H577" s="60" t="s">
        <v>236</v>
      </c>
      <c r="I577" s="60" t="s">
        <v>19</v>
      </c>
      <c r="J577" s="60">
        <v>1200000</v>
      </c>
      <c r="K577" s="60"/>
    </row>
    <row r="578" spans="1:11" ht="30" customHeight="1" x14ac:dyDescent="0.25">
      <c r="A578" s="60">
        <v>577</v>
      </c>
      <c r="B578" s="60">
        <v>220929248</v>
      </c>
      <c r="C578" s="60" t="s">
        <v>1432</v>
      </c>
      <c r="D578" s="60">
        <v>7.67</v>
      </c>
      <c r="E578" s="60">
        <v>9024336927</v>
      </c>
      <c r="F578" s="60" t="s">
        <v>1433</v>
      </c>
      <c r="G578" s="60" t="s">
        <v>317</v>
      </c>
      <c r="H578" s="60" t="s">
        <v>236</v>
      </c>
      <c r="I578" s="60" t="s">
        <v>19</v>
      </c>
      <c r="J578" s="60">
        <v>1200000</v>
      </c>
      <c r="K578" s="60"/>
    </row>
    <row r="579" spans="1:11" ht="30" customHeight="1" x14ac:dyDescent="0.25">
      <c r="A579" s="60">
        <v>578</v>
      </c>
      <c r="B579" s="60">
        <v>220933096</v>
      </c>
      <c r="C579" s="60" t="s">
        <v>1434</v>
      </c>
      <c r="D579" s="60">
        <v>7.3</v>
      </c>
      <c r="E579" s="60">
        <v>7799337257</v>
      </c>
      <c r="F579" s="60" t="s">
        <v>1435</v>
      </c>
      <c r="G579" s="60" t="s">
        <v>330</v>
      </c>
      <c r="H579" s="60" t="s">
        <v>237</v>
      </c>
      <c r="I579" s="60" t="s">
        <v>19</v>
      </c>
      <c r="J579" s="60">
        <v>650000</v>
      </c>
      <c r="K579" s="60"/>
    </row>
    <row r="580" spans="1:11" ht="30" customHeight="1" x14ac:dyDescent="0.25">
      <c r="A580" s="60">
        <v>579</v>
      </c>
      <c r="B580" s="60">
        <v>220953582</v>
      </c>
      <c r="C580" s="60" t="s">
        <v>1436</v>
      </c>
      <c r="D580" s="60">
        <v>6.5</v>
      </c>
      <c r="E580" s="60">
        <v>9427120896</v>
      </c>
      <c r="F580" s="60" t="s">
        <v>1437</v>
      </c>
      <c r="G580" s="60" t="s">
        <v>261</v>
      </c>
      <c r="H580" s="60" t="s">
        <v>238</v>
      </c>
      <c r="I580" s="60" t="s">
        <v>20</v>
      </c>
      <c r="J580" s="60">
        <v>715000</v>
      </c>
      <c r="K580" s="60">
        <v>35000</v>
      </c>
    </row>
    <row r="581" spans="1:11" ht="30" customHeight="1" x14ac:dyDescent="0.25">
      <c r="A581" s="60">
        <v>580</v>
      </c>
      <c r="B581" s="60">
        <v>220902032</v>
      </c>
      <c r="C581" s="60" t="s">
        <v>2067</v>
      </c>
      <c r="D581" s="60">
        <v>7.54</v>
      </c>
      <c r="E581" s="60">
        <v>9321401414</v>
      </c>
      <c r="F581" s="60" t="s">
        <v>2068</v>
      </c>
      <c r="G581" s="60" t="s">
        <v>1388</v>
      </c>
      <c r="H581" s="60" t="s">
        <v>2069</v>
      </c>
      <c r="I581" s="60" t="s">
        <v>19</v>
      </c>
      <c r="J581" s="60">
        <v>360000</v>
      </c>
    </row>
    <row r="582" spans="1:11" ht="30" customHeight="1" x14ac:dyDescent="0.25">
      <c r="A582" s="60">
        <v>581</v>
      </c>
      <c r="B582" s="60">
        <v>220903106</v>
      </c>
      <c r="C582" s="60" t="s">
        <v>2070</v>
      </c>
      <c r="D582" s="60">
        <v>7.11</v>
      </c>
      <c r="E582" s="60">
        <v>8590836800</v>
      </c>
      <c r="F582" s="60" t="s">
        <v>2071</v>
      </c>
      <c r="G582" s="60" t="s">
        <v>286</v>
      </c>
      <c r="H582" s="60" t="s">
        <v>2069</v>
      </c>
      <c r="I582" s="60" t="s">
        <v>19</v>
      </c>
      <c r="J582" s="60">
        <v>360000</v>
      </c>
    </row>
    <row r="583" spans="1:11" ht="30" customHeight="1" x14ac:dyDescent="0.25">
      <c r="A583" s="60">
        <v>582</v>
      </c>
      <c r="B583" s="60">
        <v>220953564</v>
      </c>
      <c r="C583" s="60" t="s">
        <v>2072</v>
      </c>
      <c r="D583" s="60">
        <v>6.55</v>
      </c>
      <c r="E583" s="60">
        <v>8788719686</v>
      </c>
      <c r="F583" s="60" t="s">
        <v>2073</v>
      </c>
      <c r="G583" s="60" t="s">
        <v>261</v>
      </c>
      <c r="H583" s="60" t="s">
        <v>2069</v>
      </c>
      <c r="I583" s="60" t="s">
        <v>19</v>
      </c>
      <c r="J583" s="60">
        <v>360000</v>
      </c>
    </row>
    <row r="584" spans="1:11" ht="30" customHeight="1" x14ac:dyDescent="0.25">
      <c r="A584" s="60">
        <v>583</v>
      </c>
      <c r="B584" s="60">
        <v>220953394</v>
      </c>
      <c r="C584" s="60" t="s">
        <v>2074</v>
      </c>
      <c r="D584" s="60">
        <v>6.22</v>
      </c>
      <c r="E584" s="60">
        <v>9137222634</v>
      </c>
      <c r="F584" s="60" t="s">
        <v>2075</v>
      </c>
      <c r="G584" s="60" t="s">
        <v>261</v>
      </c>
      <c r="H584" s="60" t="s">
        <v>2069</v>
      </c>
      <c r="I584" s="60" t="s">
        <v>19</v>
      </c>
      <c r="J584" s="60">
        <v>360000</v>
      </c>
    </row>
    <row r="585" spans="1:11" ht="30" customHeight="1" x14ac:dyDescent="0.25">
      <c r="A585" s="60">
        <v>584</v>
      </c>
      <c r="B585" s="60">
        <v>220905368</v>
      </c>
      <c r="C585" s="60" t="s">
        <v>1630</v>
      </c>
      <c r="D585" s="60">
        <v>9.51</v>
      </c>
      <c r="E585" s="60">
        <v>8080509527</v>
      </c>
      <c r="F585" s="60" t="s">
        <v>1631</v>
      </c>
      <c r="G585" s="60" t="s">
        <v>256</v>
      </c>
      <c r="H585" s="60" t="s">
        <v>2069</v>
      </c>
      <c r="I585" s="60" t="s">
        <v>19</v>
      </c>
      <c r="J585" s="60">
        <v>360000</v>
      </c>
    </row>
    <row r="586" spans="1:11" ht="30" customHeight="1" x14ac:dyDescent="0.25">
      <c r="A586" s="60">
        <v>585</v>
      </c>
      <c r="B586" s="60">
        <v>220905492</v>
      </c>
      <c r="C586" s="60" t="s">
        <v>997</v>
      </c>
      <c r="D586" s="60">
        <v>8.31</v>
      </c>
      <c r="E586" s="60">
        <v>8299276354</v>
      </c>
      <c r="F586" s="60" t="s">
        <v>998</v>
      </c>
      <c r="G586" s="60" t="s">
        <v>256</v>
      </c>
      <c r="H586" s="60" t="s">
        <v>2069</v>
      </c>
      <c r="I586" s="60" t="s">
        <v>19</v>
      </c>
      <c r="J586" s="60">
        <v>360000</v>
      </c>
    </row>
    <row r="587" spans="1:11" ht="30" customHeight="1" x14ac:dyDescent="0.25">
      <c r="A587" s="60">
        <v>586</v>
      </c>
      <c r="B587" s="60">
        <v>220905128</v>
      </c>
      <c r="C587" s="60" t="s">
        <v>2076</v>
      </c>
      <c r="D587" s="60">
        <v>8.0299999999999994</v>
      </c>
      <c r="E587" s="60">
        <v>8822872261</v>
      </c>
      <c r="F587" s="60" t="s">
        <v>2077</v>
      </c>
      <c r="G587" s="60" t="s">
        <v>256</v>
      </c>
      <c r="H587" s="60" t="s">
        <v>2069</v>
      </c>
      <c r="I587" s="60" t="s">
        <v>19</v>
      </c>
      <c r="J587" s="60">
        <v>360000</v>
      </c>
    </row>
    <row r="588" spans="1:11" ht="30" customHeight="1" x14ac:dyDescent="0.25">
      <c r="A588" s="60">
        <v>587</v>
      </c>
      <c r="B588" s="60">
        <v>220905193</v>
      </c>
      <c r="C588" s="60" t="s">
        <v>2019</v>
      </c>
      <c r="D588" s="60">
        <v>7.43</v>
      </c>
      <c r="E588" s="60">
        <v>7400060175</v>
      </c>
      <c r="F588" s="60" t="s">
        <v>2020</v>
      </c>
      <c r="G588" s="60" t="s">
        <v>256</v>
      </c>
      <c r="H588" s="60" t="s">
        <v>2069</v>
      </c>
      <c r="I588" s="60" t="s">
        <v>19</v>
      </c>
      <c r="J588" s="60">
        <v>360000</v>
      </c>
    </row>
    <row r="589" spans="1:11" ht="30" customHeight="1" x14ac:dyDescent="0.25">
      <c r="A589" s="60">
        <v>588</v>
      </c>
      <c r="B589" s="60">
        <v>220905486</v>
      </c>
      <c r="C589" s="60" t="s">
        <v>2078</v>
      </c>
      <c r="D589" s="60">
        <v>7.03</v>
      </c>
      <c r="E589" s="60">
        <v>9205316009</v>
      </c>
      <c r="F589" s="60" t="s">
        <v>2079</v>
      </c>
      <c r="G589" s="60" t="s">
        <v>256</v>
      </c>
      <c r="H589" s="60" t="s">
        <v>2069</v>
      </c>
      <c r="I589" s="60" t="s">
        <v>19</v>
      </c>
      <c r="J589" s="60">
        <v>360000</v>
      </c>
    </row>
    <row r="590" spans="1:11" ht="30" customHeight="1" x14ac:dyDescent="0.25">
      <c r="A590" s="60">
        <v>589</v>
      </c>
      <c r="B590" s="60">
        <v>220905484</v>
      </c>
      <c r="C590" s="60" t="s">
        <v>2080</v>
      </c>
      <c r="D590" s="60">
        <v>6.83</v>
      </c>
      <c r="E590" s="60">
        <v>7015747422</v>
      </c>
      <c r="F590" s="60" t="s">
        <v>2081</v>
      </c>
      <c r="G590" s="60" t="s">
        <v>256</v>
      </c>
      <c r="H590" s="60" t="s">
        <v>2069</v>
      </c>
      <c r="I590" s="60" t="s">
        <v>19</v>
      </c>
      <c r="J590" s="60">
        <v>360000</v>
      </c>
    </row>
    <row r="591" spans="1:11" ht="30" customHeight="1" x14ac:dyDescent="0.25">
      <c r="A591" s="60">
        <v>590</v>
      </c>
      <c r="B591" s="60">
        <v>220905378</v>
      </c>
      <c r="C591" s="60" t="s">
        <v>2082</v>
      </c>
      <c r="D591" s="60">
        <v>6.81</v>
      </c>
      <c r="E591" s="60">
        <v>7018611772</v>
      </c>
      <c r="F591" s="60" t="s">
        <v>2083</v>
      </c>
      <c r="G591" s="60" t="s">
        <v>256</v>
      </c>
      <c r="H591" s="60" t="s">
        <v>2069</v>
      </c>
      <c r="I591" s="60" t="s">
        <v>19</v>
      </c>
      <c r="J591" s="60">
        <v>360000</v>
      </c>
    </row>
    <row r="592" spans="1:11" ht="30" customHeight="1" x14ac:dyDescent="0.25">
      <c r="A592" s="60">
        <v>591</v>
      </c>
      <c r="B592" s="60">
        <v>220905508</v>
      </c>
      <c r="C592" s="60" t="s">
        <v>1375</v>
      </c>
      <c r="D592" s="60">
        <v>6.3</v>
      </c>
      <c r="E592" s="60">
        <v>9515118012</v>
      </c>
      <c r="F592" s="60" t="s">
        <v>1376</v>
      </c>
      <c r="G592" s="60" t="s">
        <v>256</v>
      </c>
      <c r="H592" s="60" t="s">
        <v>2069</v>
      </c>
      <c r="I592" s="60" t="s">
        <v>19</v>
      </c>
      <c r="J592" s="60">
        <v>360000</v>
      </c>
    </row>
    <row r="593" spans="1:10" ht="30" customHeight="1" x14ac:dyDescent="0.25">
      <c r="A593" s="60">
        <v>592</v>
      </c>
      <c r="B593" s="60">
        <v>220962214</v>
      </c>
      <c r="C593" s="60" t="s">
        <v>1626</v>
      </c>
      <c r="D593" s="60">
        <v>8.8000000000000007</v>
      </c>
      <c r="E593" s="60">
        <v>9131912701</v>
      </c>
      <c r="F593" s="60" t="s">
        <v>1627</v>
      </c>
      <c r="G593" s="60" t="s">
        <v>253</v>
      </c>
      <c r="H593" s="60" t="s">
        <v>2069</v>
      </c>
      <c r="I593" s="60" t="s">
        <v>19</v>
      </c>
      <c r="J593" s="60">
        <v>360000</v>
      </c>
    </row>
    <row r="594" spans="1:10" ht="30" customHeight="1" x14ac:dyDescent="0.25">
      <c r="A594" s="60">
        <v>593</v>
      </c>
      <c r="B594" s="60">
        <v>220962346</v>
      </c>
      <c r="C594" s="60" t="s">
        <v>1780</v>
      </c>
      <c r="D594" s="60">
        <v>8.44</v>
      </c>
      <c r="E594" s="60">
        <v>7318449410</v>
      </c>
      <c r="F594" s="60" t="s">
        <v>1781</v>
      </c>
      <c r="G594" s="60" t="s">
        <v>253</v>
      </c>
      <c r="H594" s="60" t="s">
        <v>2069</v>
      </c>
      <c r="I594" s="60" t="s">
        <v>19</v>
      </c>
      <c r="J594" s="60">
        <v>360000</v>
      </c>
    </row>
    <row r="595" spans="1:10" ht="30" customHeight="1" x14ac:dyDescent="0.25">
      <c r="A595" s="60">
        <v>594</v>
      </c>
      <c r="B595" s="60">
        <v>220962242</v>
      </c>
      <c r="C595" s="60" t="s">
        <v>2061</v>
      </c>
      <c r="D595" s="60">
        <v>8.44</v>
      </c>
      <c r="E595" s="60">
        <v>8355921665</v>
      </c>
      <c r="F595" s="60" t="s">
        <v>2062</v>
      </c>
      <c r="G595" s="60" t="s">
        <v>253</v>
      </c>
      <c r="H595" s="60" t="s">
        <v>2069</v>
      </c>
      <c r="I595" s="60" t="s">
        <v>19</v>
      </c>
      <c r="J595" s="60">
        <v>360000</v>
      </c>
    </row>
    <row r="596" spans="1:10" ht="30" customHeight="1" x14ac:dyDescent="0.25">
      <c r="A596" s="60">
        <v>595</v>
      </c>
      <c r="B596" s="60">
        <v>220962394</v>
      </c>
      <c r="C596" s="60" t="s">
        <v>335</v>
      </c>
      <c r="D596" s="60">
        <v>8.26</v>
      </c>
      <c r="E596" s="60">
        <v>9311208671</v>
      </c>
      <c r="F596" s="60" t="s">
        <v>336</v>
      </c>
      <c r="G596" s="60" t="s">
        <v>253</v>
      </c>
      <c r="H596" s="60" t="s">
        <v>2069</v>
      </c>
      <c r="I596" s="60" t="s">
        <v>19</v>
      </c>
      <c r="J596" s="60">
        <v>360000</v>
      </c>
    </row>
    <row r="597" spans="1:10" ht="30" customHeight="1" x14ac:dyDescent="0.25">
      <c r="A597" s="60">
        <v>596</v>
      </c>
      <c r="B597" s="60">
        <v>220962372</v>
      </c>
      <c r="C597" s="60" t="s">
        <v>1389</v>
      </c>
      <c r="D597" s="60">
        <v>7.65</v>
      </c>
      <c r="E597" s="60">
        <v>9560752299</v>
      </c>
      <c r="F597" s="60" t="s">
        <v>1390</v>
      </c>
      <c r="G597" s="60" t="s">
        <v>253</v>
      </c>
      <c r="H597" s="60" t="s">
        <v>2069</v>
      </c>
      <c r="I597" s="60" t="s">
        <v>19</v>
      </c>
      <c r="J597" s="60">
        <v>360000</v>
      </c>
    </row>
    <row r="598" spans="1:10" ht="30" customHeight="1" x14ac:dyDescent="0.25">
      <c r="A598" s="60">
        <v>597</v>
      </c>
      <c r="B598" s="60">
        <v>220962286</v>
      </c>
      <c r="C598" s="60" t="s">
        <v>1092</v>
      </c>
      <c r="D598" s="60">
        <v>7.55</v>
      </c>
      <c r="E598" s="60">
        <v>9122951493</v>
      </c>
      <c r="F598" s="60" t="s">
        <v>1093</v>
      </c>
      <c r="G598" s="60" t="s">
        <v>253</v>
      </c>
      <c r="H598" s="60" t="s">
        <v>2069</v>
      </c>
      <c r="I598" s="60" t="s">
        <v>19</v>
      </c>
      <c r="J598" s="60">
        <v>360000</v>
      </c>
    </row>
    <row r="599" spans="1:10" ht="30" customHeight="1" x14ac:dyDescent="0.25">
      <c r="A599" s="60">
        <v>598</v>
      </c>
      <c r="B599" s="60">
        <v>220962012</v>
      </c>
      <c r="C599" s="60" t="s">
        <v>2084</v>
      </c>
      <c r="D599" s="60">
        <v>7.48</v>
      </c>
      <c r="E599" s="60">
        <v>8277482773</v>
      </c>
      <c r="F599" s="60" t="s">
        <v>2085</v>
      </c>
      <c r="G599" s="60" t="s">
        <v>253</v>
      </c>
      <c r="H599" s="60" t="s">
        <v>2069</v>
      </c>
      <c r="I599" s="60" t="s">
        <v>19</v>
      </c>
      <c r="J599" s="60">
        <v>360000</v>
      </c>
    </row>
    <row r="600" spans="1:10" ht="30" customHeight="1" x14ac:dyDescent="0.25">
      <c r="A600" s="60">
        <v>599</v>
      </c>
      <c r="B600" s="60">
        <v>220962390</v>
      </c>
      <c r="C600" s="60" t="s">
        <v>1909</v>
      </c>
      <c r="D600" s="60">
        <v>7.12</v>
      </c>
      <c r="E600" s="60">
        <v>8651141117</v>
      </c>
      <c r="F600" s="60" t="s">
        <v>1910</v>
      </c>
      <c r="G600" s="60" t="s">
        <v>253</v>
      </c>
      <c r="H600" s="60" t="s">
        <v>2069</v>
      </c>
      <c r="I600" s="60" t="s">
        <v>19</v>
      </c>
      <c r="J600" s="60">
        <v>360000</v>
      </c>
    </row>
    <row r="601" spans="1:10" ht="30" customHeight="1" x14ac:dyDescent="0.25">
      <c r="A601" s="60">
        <v>600</v>
      </c>
      <c r="B601" s="60">
        <v>220962388</v>
      </c>
      <c r="C601" s="60" t="s">
        <v>2086</v>
      </c>
      <c r="D601" s="60">
        <v>6.73</v>
      </c>
      <c r="E601" s="60">
        <v>8050092737</v>
      </c>
      <c r="F601" s="60" t="s">
        <v>2087</v>
      </c>
      <c r="G601" s="60" t="s">
        <v>253</v>
      </c>
      <c r="H601" s="60" t="s">
        <v>2069</v>
      </c>
      <c r="I601" s="60" t="s">
        <v>19</v>
      </c>
      <c r="J601" s="60">
        <v>360000</v>
      </c>
    </row>
    <row r="602" spans="1:10" ht="30" customHeight="1" x14ac:dyDescent="0.25">
      <c r="A602" s="60">
        <v>601</v>
      </c>
      <c r="B602" s="60">
        <v>220962050</v>
      </c>
      <c r="C602" s="60" t="s">
        <v>1907</v>
      </c>
      <c r="D602" s="60">
        <v>6.57</v>
      </c>
      <c r="E602" s="60">
        <v>9650984445</v>
      </c>
      <c r="F602" s="60" t="s">
        <v>1908</v>
      </c>
      <c r="G602" s="60" t="s">
        <v>253</v>
      </c>
      <c r="H602" s="60" t="s">
        <v>2069</v>
      </c>
      <c r="I602" s="60" t="s">
        <v>19</v>
      </c>
      <c r="J602" s="60">
        <v>360000</v>
      </c>
    </row>
    <row r="603" spans="1:10" ht="30" customHeight="1" x14ac:dyDescent="0.25">
      <c r="A603" s="60">
        <v>602</v>
      </c>
      <c r="B603" s="60">
        <v>220962320</v>
      </c>
      <c r="C603" s="60" t="s">
        <v>2088</v>
      </c>
      <c r="D603" s="60">
        <v>6.32</v>
      </c>
      <c r="E603" s="60">
        <v>9989944624</v>
      </c>
      <c r="F603" s="60" t="s">
        <v>2089</v>
      </c>
      <c r="G603" s="60" t="s">
        <v>253</v>
      </c>
      <c r="H603" s="60" t="s">
        <v>2069</v>
      </c>
      <c r="I603" s="60" t="s">
        <v>19</v>
      </c>
      <c r="J603" s="60">
        <v>360000</v>
      </c>
    </row>
    <row r="604" spans="1:10" ht="30" customHeight="1" x14ac:dyDescent="0.25">
      <c r="A604" s="60">
        <v>603</v>
      </c>
      <c r="B604" s="60">
        <v>220962376</v>
      </c>
      <c r="C604" s="60" t="s">
        <v>2090</v>
      </c>
      <c r="D604" s="60">
        <v>6.21</v>
      </c>
      <c r="E604" s="60">
        <v>8688549644</v>
      </c>
      <c r="F604" s="60" t="s">
        <v>2091</v>
      </c>
      <c r="G604" s="60" t="s">
        <v>253</v>
      </c>
      <c r="H604" s="60" t="s">
        <v>2069</v>
      </c>
      <c r="I604" s="60" t="s">
        <v>19</v>
      </c>
      <c r="J604" s="60">
        <v>360000</v>
      </c>
    </row>
    <row r="605" spans="1:10" ht="30" customHeight="1" x14ac:dyDescent="0.25">
      <c r="A605" s="60">
        <v>604</v>
      </c>
      <c r="B605" s="60">
        <v>220962058</v>
      </c>
      <c r="C605" s="60" t="s">
        <v>2092</v>
      </c>
      <c r="D605" s="60">
        <v>6.04</v>
      </c>
      <c r="E605" s="60">
        <v>8894325885</v>
      </c>
      <c r="F605" s="60" t="s">
        <v>2093</v>
      </c>
      <c r="G605" s="60" t="s">
        <v>253</v>
      </c>
      <c r="H605" s="60" t="s">
        <v>2069</v>
      </c>
      <c r="I605" s="60" t="s">
        <v>19</v>
      </c>
      <c r="J605" s="60">
        <v>360000</v>
      </c>
    </row>
    <row r="606" spans="1:10" ht="30" customHeight="1" x14ac:dyDescent="0.25">
      <c r="A606" s="60">
        <v>605</v>
      </c>
      <c r="B606" s="60">
        <v>220962065</v>
      </c>
      <c r="C606" s="60" t="s">
        <v>2037</v>
      </c>
      <c r="D606" s="60">
        <v>6</v>
      </c>
      <c r="E606" s="60">
        <v>9552567865</v>
      </c>
      <c r="F606" s="60" t="s">
        <v>2038</v>
      </c>
      <c r="G606" s="60" t="s">
        <v>253</v>
      </c>
      <c r="H606" s="60" t="s">
        <v>2069</v>
      </c>
      <c r="I606" s="60" t="s">
        <v>19</v>
      </c>
      <c r="J606" s="60">
        <v>360000</v>
      </c>
    </row>
    <row r="607" spans="1:10" ht="30" customHeight="1" x14ac:dyDescent="0.25">
      <c r="A607" s="60">
        <v>606</v>
      </c>
      <c r="B607" s="60">
        <v>220961108</v>
      </c>
      <c r="C607" s="60" t="s">
        <v>1992</v>
      </c>
      <c r="D607" s="60">
        <v>9.31</v>
      </c>
      <c r="E607" s="60">
        <v>9311986053</v>
      </c>
      <c r="F607" s="60" t="s">
        <v>1993</v>
      </c>
      <c r="G607" s="60" t="s">
        <v>541</v>
      </c>
      <c r="H607" s="60" t="s">
        <v>2069</v>
      </c>
      <c r="I607" s="60" t="s">
        <v>19</v>
      </c>
      <c r="J607" s="60">
        <v>360000</v>
      </c>
    </row>
    <row r="608" spans="1:10" ht="30" customHeight="1" x14ac:dyDescent="0.25">
      <c r="A608" s="60">
        <v>607</v>
      </c>
      <c r="B608" s="60">
        <v>220961038</v>
      </c>
      <c r="C608" s="60" t="s">
        <v>2094</v>
      </c>
      <c r="D608" s="60">
        <v>8.25</v>
      </c>
      <c r="E608" s="60">
        <v>6364401720</v>
      </c>
      <c r="F608" s="60" t="s">
        <v>2095</v>
      </c>
      <c r="G608" s="60" t="s">
        <v>541</v>
      </c>
      <c r="H608" s="60" t="s">
        <v>2069</v>
      </c>
      <c r="I608" s="60" t="s">
        <v>19</v>
      </c>
      <c r="J608" s="60">
        <v>360000</v>
      </c>
    </row>
    <row r="609" spans="1:10" ht="30" customHeight="1" x14ac:dyDescent="0.25">
      <c r="A609" s="60">
        <v>608</v>
      </c>
      <c r="B609" s="60">
        <v>220961146</v>
      </c>
      <c r="C609" s="60" t="s">
        <v>1409</v>
      </c>
      <c r="D609" s="60">
        <v>7.44</v>
      </c>
      <c r="E609" s="60">
        <v>9359476076</v>
      </c>
      <c r="F609" s="60" t="s">
        <v>1410</v>
      </c>
      <c r="G609" s="60" t="s">
        <v>541</v>
      </c>
      <c r="H609" s="60" t="s">
        <v>2069</v>
      </c>
      <c r="I609" s="60" t="s">
        <v>19</v>
      </c>
      <c r="J609" s="60">
        <v>360000</v>
      </c>
    </row>
    <row r="610" spans="1:10" ht="30" customHeight="1" x14ac:dyDescent="0.25">
      <c r="A610" s="60">
        <v>609</v>
      </c>
      <c r="B610" s="60">
        <v>220968422</v>
      </c>
      <c r="C610" s="60" t="s">
        <v>689</v>
      </c>
      <c r="D610" s="60">
        <v>8.44</v>
      </c>
      <c r="E610" s="60">
        <v>8962446441</v>
      </c>
      <c r="F610" s="60" t="s">
        <v>690</v>
      </c>
      <c r="G610" s="60" t="s">
        <v>384</v>
      </c>
      <c r="H610" s="60" t="s">
        <v>2069</v>
      </c>
      <c r="I610" s="60" t="s">
        <v>19</v>
      </c>
      <c r="J610" s="60">
        <v>360000</v>
      </c>
    </row>
    <row r="611" spans="1:10" ht="30" customHeight="1" x14ac:dyDescent="0.25">
      <c r="A611" s="60">
        <v>610</v>
      </c>
      <c r="B611" s="60">
        <v>220968170</v>
      </c>
      <c r="C611" s="60" t="s">
        <v>2096</v>
      </c>
      <c r="D611" s="60">
        <v>7.54</v>
      </c>
      <c r="E611" s="60">
        <v>9167850681</v>
      </c>
      <c r="F611" s="60" t="s">
        <v>2097</v>
      </c>
      <c r="G611" s="60" t="s">
        <v>384</v>
      </c>
      <c r="H611" s="60" t="s">
        <v>2069</v>
      </c>
      <c r="I611" s="60" t="s">
        <v>19</v>
      </c>
      <c r="J611" s="60">
        <v>360000</v>
      </c>
    </row>
    <row r="612" spans="1:10" ht="30" customHeight="1" x14ac:dyDescent="0.25">
      <c r="A612" s="60">
        <v>611</v>
      </c>
      <c r="B612" s="60">
        <v>220968084</v>
      </c>
      <c r="C612" s="60" t="s">
        <v>2098</v>
      </c>
      <c r="D612" s="60">
        <v>7.54</v>
      </c>
      <c r="E612" s="60">
        <v>8919251465</v>
      </c>
      <c r="F612" s="60" t="s">
        <v>2099</v>
      </c>
      <c r="G612" s="60" t="s">
        <v>384</v>
      </c>
      <c r="H612" s="60" t="s">
        <v>2069</v>
      </c>
      <c r="I612" s="60" t="s">
        <v>19</v>
      </c>
      <c r="J612" s="60">
        <v>360000</v>
      </c>
    </row>
    <row r="613" spans="1:10" ht="30" customHeight="1" x14ac:dyDescent="0.25">
      <c r="A613" s="60">
        <v>612</v>
      </c>
      <c r="B613" s="60">
        <v>220968354</v>
      </c>
      <c r="C613" s="60" t="s">
        <v>1839</v>
      </c>
      <c r="D613" s="60">
        <v>7.47</v>
      </c>
      <c r="E613" s="60">
        <v>7980562223</v>
      </c>
      <c r="F613" s="60" t="s">
        <v>1840</v>
      </c>
      <c r="G613" s="60" t="s">
        <v>384</v>
      </c>
      <c r="H613" s="60" t="s">
        <v>2069</v>
      </c>
      <c r="I613" s="60" t="s">
        <v>19</v>
      </c>
      <c r="J613" s="60">
        <v>360000</v>
      </c>
    </row>
    <row r="614" spans="1:10" ht="30" customHeight="1" x14ac:dyDescent="0.25">
      <c r="A614" s="60">
        <v>613</v>
      </c>
      <c r="B614" s="60">
        <v>220968156</v>
      </c>
      <c r="C614" s="60" t="s">
        <v>2100</v>
      </c>
      <c r="D614" s="60">
        <v>7.46</v>
      </c>
      <c r="E614" s="60">
        <v>7409088374</v>
      </c>
      <c r="F614" s="60" t="s">
        <v>2101</v>
      </c>
      <c r="G614" s="60" t="s">
        <v>384</v>
      </c>
      <c r="H614" s="60" t="s">
        <v>2069</v>
      </c>
      <c r="I614" s="60" t="s">
        <v>19</v>
      </c>
      <c r="J614" s="60">
        <v>360000</v>
      </c>
    </row>
    <row r="615" spans="1:10" ht="30" customHeight="1" x14ac:dyDescent="0.25">
      <c r="A615" s="60">
        <v>614</v>
      </c>
      <c r="B615" s="60">
        <v>220968082</v>
      </c>
      <c r="C615" s="60" t="s">
        <v>2102</v>
      </c>
      <c r="D615" s="60">
        <v>6.71</v>
      </c>
      <c r="E615" s="60">
        <v>9177516483</v>
      </c>
      <c r="F615" s="60" t="s">
        <v>2103</v>
      </c>
      <c r="G615" s="60" t="s">
        <v>384</v>
      </c>
      <c r="H615" s="60" t="s">
        <v>2069</v>
      </c>
      <c r="I615" s="60" t="s">
        <v>19</v>
      </c>
      <c r="J615" s="60">
        <v>360000</v>
      </c>
    </row>
    <row r="616" spans="1:10" ht="30" customHeight="1" x14ac:dyDescent="0.25">
      <c r="A616" s="60">
        <v>615</v>
      </c>
      <c r="B616" s="60">
        <v>220968256</v>
      </c>
      <c r="C616" s="60" t="s">
        <v>1911</v>
      </c>
      <c r="D616" s="60">
        <v>6.57</v>
      </c>
      <c r="E616" s="60">
        <v>9901500336</v>
      </c>
      <c r="F616" s="60" t="s">
        <v>1912</v>
      </c>
      <c r="G616" s="60" t="s">
        <v>384</v>
      </c>
      <c r="H616" s="60" t="s">
        <v>2069</v>
      </c>
      <c r="I616" s="60" t="s">
        <v>19</v>
      </c>
      <c r="J616" s="60">
        <v>360000</v>
      </c>
    </row>
    <row r="617" spans="1:10" ht="30" customHeight="1" x14ac:dyDescent="0.25">
      <c r="A617" s="60">
        <v>616</v>
      </c>
      <c r="B617" s="60">
        <v>220968366</v>
      </c>
      <c r="C617" s="60" t="s">
        <v>2104</v>
      </c>
      <c r="D617" s="60">
        <v>6.4</v>
      </c>
      <c r="E617" s="60">
        <v>8217826798</v>
      </c>
      <c r="F617" s="60" t="s">
        <v>2105</v>
      </c>
      <c r="G617" s="60" t="s">
        <v>384</v>
      </c>
      <c r="H617" s="60" t="s">
        <v>2069</v>
      </c>
      <c r="I617" s="60" t="s">
        <v>19</v>
      </c>
      <c r="J617" s="60">
        <v>360000</v>
      </c>
    </row>
    <row r="618" spans="1:10" ht="30" customHeight="1" x14ac:dyDescent="0.25">
      <c r="A618" s="60">
        <v>617</v>
      </c>
      <c r="B618" s="60">
        <v>210968029</v>
      </c>
      <c r="C618" s="60" t="s">
        <v>2106</v>
      </c>
      <c r="D618" s="60">
        <v>6.26</v>
      </c>
      <c r="E618" s="60">
        <v>9918280546</v>
      </c>
      <c r="F618" s="60" t="s">
        <v>2107</v>
      </c>
      <c r="G618" s="60" t="s">
        <v>384</v>
      </c>
      <c r="H618" s="60" t="s">
        <v>2069</v>
      </c>
      <c r="I618" s="60" t="s">
        <v>19</v>
      </c>
      <c r="J618" s="60">
        <v>360000</v>
      </c>
    </row>
    <row r="619" spans="1:10" ht="30" customHeight="1" x14ac:dyDescent="0.25">
      <c r="A619" s="60">
        <v>618</v>
      </c>
      <c r="B619" s="60">
        <v>220906300</v>
      </c>
      <c r="C619" s="60" t="s">
        <v>2108</v>
      </c>
      <c r="D619" s="60">
        <v>7.83</v>
      </c>
      <c r="E619" s="60">
        <v>7319644892</v>
      </c>
      <c r="F619" s="60" t="s">
        <v>2109</v>
      </c>
      <c r="G619" s="60" t="s">
        <v>478</v>
      </c>
      <c r="H619" s="60" t="s">
        <v>2069</v>
      </c>
      <c r="I619" s="60" t="s">
        <v>19</v>
      </c>
      <c r="J619" s="60">
        <v>360000</v>
      </c>
    </row>
    <row r="620" spans="1:10" ht="30" customHeight="1" x14ac:dyDescent="0.25">
      <c r="A620" s="60">
        <v>619</v>
      </c>
      <c r="B620" s="60">
        <v>220906622</v>
      </c>
      <c r="C620" s="60" t="s">
        <v>1919</v>
      </c>
      <c r="D620" s="60">
        <v>7.4</v>
      </c>
      <c r="E620" s="60">
        <v>8247527538</v>
      </c>
      <c r="F620" s="60" t="s">
        <v>1920</v>
      </c>
      <c r="G620" s="60" t="s">
        <v>478</v>
      </c>
      <c r="H620" s="60" t="s">
        <v>2069</v>
      </c>
      <c r="I620" s="60" t="s">
        <v>19</v>
      </c>
      <c r="J620" s="60">
        <v>360000</v>
      </c>
    </row>
    <row r="621" spans="1:10" ht="30" customHeight="1" x14ac:dyDescent="0.25">
      <c r="A621" s="60">
        <v>620</v>
      </c>
      <c r="B621" s="60">
        <v>220906574</v>
      </c>
      <c r="C621" s="60" t="s">
        <v>1853</v>
      </c>
      <c r="D621" s="60">
        <v>6.91</v>
      </c>
      <c r="E621" s="60">
        <v>9954525108</v>
      </c>
      <c r="F621" s="60" t="s">
        <v>1854</v>
      </c>
      <c r="G621" s="60" t="s">
        <v>478</v>
      </c>
      <c r="H621" s="60" t="s">
        <v>2069</v>
      </c>
      <c r="I621" s="60" t="s">
        <v>19</v>
      </c>
      <c r="J621" s="60">
        <v>360000</v>
      </c>
    </row>
    <row r="622" spans="1:10" ht="30" customHeight="1" x14ac:dyDescent="0.25">
      <c r="A622" s="60">
        <v>621</v>
      </c>
      <c r="B622" s="60">
        <v>220907650</v>
      </c>
      <c r="C622" s="60" t="s">
        <v>2110</v>
      </c>
      <c r="D622" s="60">
        <v>7.36</v>
      </c>
      <c r="E622" s="60">
        <v>9059239514</v>
      </c>
      <c r="F622" s="60" t="s">
        <v>2111</v>
      </c>
      <c r="G622" s="60" t="s">
        <v>277</v>
      </c>
      <c r="H622" s="60" t="s">
        <v>2069</v>
      </c>
      <c r="I622" s="60" t="s">
        <v>19</v>
      </c>
      <c r="J622" s="60">
        <v>360000</v>
      </c>
    </row>
    <row r="623" spans="1:10" ht="30" customHeight="1" x14ac:dyDescent="0.25">
      <c r="A623" s="60">
        <v>622</v>
      </c>
      <c r="B623" s="60">
        <v>220907856</v>
      </c>
      <c r="C623" s="60" t="s">
        <v>1228</v>
      </c>
      <c r="D623" s="60">
        <v>7.06</v>
      </c>
      <c r="E623" s="60">
        <v>8287227570</v>
      </c>
      <c r="F623" s="60" t="s">
        <v>1229</v>
      </c>
      <c r="G623" s="60" t="s">
        <v>277</v>
      </c>
      <c r="H623" s="60" t="s">
        <v>2069</v>
      </c>
      <c r="I623" s="60" t="s">
        <v>19</v>
      </c>
      <c r="J623" s="60">
        <v>360000</v>
      </c>
    </row>
    <row r="624" spans="1:10" ht="30" customHeight="1" x14ac:dyDescent="0.25">
      <c r="A624" s="60">
        <v>623</v>
      </c>
      <c r="B624" s="60">
        <v>220907716</v>
      </c>
      <c r="C624" s="60" t="s">
        <v>2046</v>
      </c>
      <c r="D624" s="60">
        <v>6.99</v>
      </c>
      <c r="E624" s="60">
        <v>7011360817</v>
      </c>
      <c r="F624" s="60" t="s">
        <v>2047</v>
      </c>
      <c r="G624" s="60" t="s">
        <v>277</v>
      </c>
      <c r="H624" s="60" t="s">
        <v>2069</v>
      </c>
      <c r="I624" s="60" t="s">
        <v>19</v>
      </c>
      <c r="J624" s="60">
        <v>360000</v>
      </c>
    </row>
    <row r="625" spans="1:10" ht="30" customHeight="1" x14ac:dyDescent="0.25">
      <c r="A625" s="60">
        <v>624</v>
      </c>
      <c r="B625" s="60">
        <v>220907526</v>
      </c>
      <c r="C625" s="60" t="s">
        <v>1260</v>
      </c>
      <c r="D625" s="60">
        <v>6.93</v>
      </c>
      <c r="E625" s="60">
        <v>8983883406</v>
      </c>
      <c r="F625" s="60" t="s">
        <v>1261</v>
      </c>
      <c r="G625" s="60" t="s">
        <v>277</v>
      </c>
      <c r="H625" s="60" t="s">
        <v>2069</v>
      </c>
      <c r="I625" s="60" t="s">
        <v>19</v>
      </c>
      <c r="J625" s="60">
        <v>360000</v>
      </c>
    </row>
    <row r="626" spans="1:10" ht="30" customHeight="1" x14ac:dyDescent="0.25">
      <c r="A626" s="60">
        <v>625</v>
      </c>
      <c r="B626" s="60">
        <v>220907038</v>
      </c>
      <c r="C626" s="60" t="s">
        <v>2112</v>
      </c>
      <c r="D626" s="60">
        <v>6.76</v>
      </c>
      <c r="E626" s="60">
        <v>9359893865</v>
      </c>
      <c r="F626" s="60" t="s">
        <v>2113</v>
      </c>
      <c r="G626" s="60" t="s">
        <v>277</v>
      </c>
      <c r="H626" s="60" t="s">
        <v>2069</v>
      </c>
      <c r="I626" s="60" t="s">
        <v>19</v>
      </c>
      <c r="J626" s="60">
        <v>360000</v>
      </c>
    </row>
    <row r="627" spans="1:10" ht="30" customHeight="1" x14ac:dyDescent="0.25">
      <c r="A627" s="60">
        <v>626</v>
      </c>
      <c r="B627" s="60">
        <v>220907796</v>
      </c>
      <c r="C627" s="60" t="s">
        <v>1438</v>
      </c>
      <c r="D627" s="60">
        <v>6.63</v>
      </c>
      <c r="E627" s="60">
        <v>7992374676</v>
      </c>
      <c r="F627" s="60" t="s">
        <v>1439</v>
      </c>
      <c r="G627" s="60" t="s">
        <v>277</v>
      </c>
      <c r="H627" s="60" t="s">
        <v>2069</v>
      </c>
      <c r="I627" s="60" t="s">
        <v>19</v>
      </c>
      <c r="J627" s="60">
        <v>360000</v>
      </c>
    </row>
    <row r="628" spans="1:10" ht="30" customHeight="1" x14ac:dyDescent="0.25">
      <c r="A628" s="60">
        <v>627</v>
      </c>
      <c r="B628" s="60">
        <v>220907700</v>
      </c>
      <c r="C628" s="60" t="s">
        <v>2114</v>
      </c>
      <c r="D628" s="60">
        <v>6.52</v>
      </c>
      <c r="E628" s="60">
        <v>9043499979</v>
      </c>
      <c r="F628" s="60" t="s">
        <v>2115</v>
      </c>
      <c r="G628" s="60" t="s">
        <v>277</v>
      </c>
      <c r="H628" s="60" t="s">
        <v>2069</v>
      </c>
      <c r="I628" s="60" t="s">
        <v>19</v>
      </c>
      <c r="J628" s="60">
        <v>360000</v>
      </c>
    </row>
    <row r="629" spans="1:10" ht="30" customHeight="1" x14ac:dyDescent="0.25">
      <c r="A629" s="60">
        <v>628</v>
      </c>
      <c r="B629" s="60">
        <v>220907004</v>
      </c>
      <c r="C629" s="60" t="s">
        <v>2116</v>
      </c>
      <c r="D629" s="60">
        <v>6.41</v>
      </c>
      <c r="E629" s="60">
        <v>8861246242</v>
      </c>
      <c r="F629" s="60" t="s">
        <v>2117</v>
      </c>
      <c r="G629" s="60" t="s">
        <v>277</v>
      </c>
      <c r="H629" s="60" t="s">
        <v>2069</v>
      </c>
      <c r="I629" s="60" t="s">
        <v>19</v>
      </c>
      <c r="J629" s="60">
        <v>360000</v>
      </c>
    </row>
    <row r="630" spans="1:10" ht="30" customHeight="1" x14ac:dyDescent="0.25">
      <c r="A630" s="60">
        <v>629</v>
      </c>
      <c r="B630" s="60">
        <v>220932046</v>
      </c>
      <c r="C630" s="60" t="s">
        <v>749</v>
      </c>
      <c r="D630" s="60">
        <v>7.42</v>
      </c>
      <c r="E630" s="60">
        <v>9969258936</v>
      </c>
      <c r="F630" s="60" t="s">
        <v>1925</v>
      </c>
      <c r="G630" s="60" t="s">
        <v>289</v>
      </c>
      <c r="H630" s="60" t="s">
        <v>2069</v>
      </c>
      <c r="I630" s="60" t="s">
        <v>19</v>
      </c>
      <c r="J630" s="60">
        <v>360000</v>
      </c>
    </row>
    <row r="631" spans="1:10" ht="30" customHeight="1" x14ac:dyDescent="0.25">
      <c r="A631" s="60">
        <v>630</v>
      </c>
      <c r="B631" s="60">
        <v>220932058</v>
      </c>
      <c r="C631" s="60" t="s">
        <v>1698</v>
      </c>
      <c r="D631" s="60">
        <v>7.23</v>
      </c>
      <c r="E631" s="60">
        <v>9112803787</v>
      </c>
      <c r="F631" s="60" t="s">
        <v>1699</v>
      </c>
      <c r="G631" s="60" t="s">
        <v>289</v>
      </c>
      <c r="H631" s="60" t="s">
        <v>2069</v>
      </c>
      <c r="I631" s="60" t="s">
        <v>19</v>
      </c>
      <c r="J631" s="60">
        <v>360000</v>
      </c>
    </row>
    <row r="632" spans="1:10" ht="30" customHeight="1" x14ac:dyDescent="0.25">
      <c r="A632" s="60">
        <v>631</v>
      </c>
      <c r="B632" s="60">
        <v>220932080</v>
      </c>
      <c r="C632" s="60" t="s">
        <v>2118</v>
      </c>
      <c r="D632" s="60">
        <v>6.25</v>
      </c>
      <c r="E632" s="60">
        <v>8767654812</v>
      </c>
      <c r="F632" s="60" t="s">
        <v>2119</v>
      </c>
      <c r="G632" s="60" t="s">
        <v>289</v>
      </c>
      <c r="H632" s="60" t="s">
        <v>2069</v>
      </c>
      <c r="I632" s="60" t="s">
        <v>19</v>
      </c>
      <c r="J632" s="60">
        <v>360000</v>
      </c>
    </row>
    <row r="633" spans="1:10" ht="30" customHeight="1" x14ac:dyDescent="0.25">
      <c r="A633" s="60">
        <v>632</v>
      </c>
      <c r="B633" s="60">
        <v>220911526</v>
      </c>
      <c r="C633" s="60" t="s">
        <v>1015</v>
      </c>
      <c r="D633" s="60">
        <v>8.69</v>
      </c>
      <c r="E633" s="60">
        <v>9354596573</v>
      </c>
      <c r="F633" s="60" t="s">
        <v>1016</v>
      </c>
      <c r="G633" s="60" t="s">
        <v>274</v>
      </c>
      <c r="H633" s="60" t="s">
        <v>2069</v>
      </c>
      <c r="I633" s="60" t="s">
        <v>19</v>
      </c>
      <c r="J633" s="60">
        <v>360000</v>
      </c>
    </row>
    <row r="634" spans="1:10" ht="30" customHeight="1" x14ac:dyDescent="0.25">
      <c r="A634" s="60">
        <v>633</v>
      </c>
      <c r="B634" s="60">
        <v>220911562</v>
      </c>
      <c r="C634" s="60" t="s">
        <v>1061</v>
      </c>
      <c r="D634" s="60">
        <v>8.11</v>
      </c>
      <c r="E634" s="60">
        <v>9079781213</v>
      </c>
      <c r="F634" s="60" t="s">
        <v>1062</v>
      </c>
      <c r="G634" s="60" t="s">
        <v>274</v>
      </c>
      <c r="H634" s="60" t="s">
        <v>2069</v>
      </c>
      <c r="I634" s="60" t="s">
        <v>19</v>
      </c>
      <c r="J634" s="60">
        <v>360000</v>
      </c>
    </row>
    <row r="635" spans="1:10" ht="30" customHeight="1" x14ac:dyDescent="0.25">
      <c r="A635" s="60">
        <v>634</v>
      </c>
      <c r="B635" s="60">
        <v>220911438</v>
      </c>
      <c r="C635" s="60" t="s">
        <v>1232</v>
      </c>
      <c r="D635" s="60">
        <v>7.7</v>
      </c>
      <c r="E635" s="60">
        <v>7276072797</v>
      </c>
      <c r="F635" s="60" t="s">
        <v>1233</v>
      </c>
      <c r="G635" s="60" t="s">
        <v>274</v>
      </c>
      <c r="H635" s="60" t="s">
        <v>2069</v>
      </c>
      <c r="I635" s="60" t="s">
        <v>19</v>
      </c>
      <c r="J635" s="60">
        <v>360000</v>
      </c>
    </row>
    <row r="636" spans="1:10" ht="30" customHeight="1" x14ac:dyDescent="0.25">
      <c r="A636" s="60">
        <v>635</v>
      </c>
      <c r="B636" s="60">
        <v>220911274</v>
      </c>
      <c r="C636" s="60" t="s">
        <v>2023</v>
      </c>
      <c r="D636" s="60">
        <v>7.07</v>
      </c>
      <c r="E636" s="60">
        <v>9611717774</v>
      </c>
      <c r="F636" s="60" t="s">
        <v>2024</v>
      </c>
      <c r="G636" s="60" t="s">
        <v>274</v>
      </c>
      <c r="H636" s="60" t="s">
        <v>2069</v>
      </c>
      <c r="I636" s="60" t="s">
        <v>19</v>
      </c>
      <c r="J636" s="60">
        <v>360000</v>
      </c>
    </row>
    <row r="637" spans="1:10" ht="30" customHeight="1" x14ac:dyDescent="0.25">
      <c r="A637" s="60">
        <v>636</v>
      </c>
      <c r="B637" s="60">
        <v>220911053</v>
      </c>
      <c r="C637" s="60" t="s">
        <v>2120</v>
      </c>
      <c r="D637" s="60">
        <v>6.82</v>
      </c>
      <c r="E637" s="60">
        <v>8639154314</v>
      </c>
      <c r="F637" s="60" t="s">
        <v>2066</v>
      </c>
      <c r="G637" s="60" t="s">
        <v>274</v>
      </c>
      <c r="H637" s="60" t="s">
        <v>2069</v>
      </c>
      <c r="I637" s="60" t="s">
        <v>19</v>
      </c>
      <c r="J637" s="60">
        <v>360000</v>
      </c>
    </row>
    <row r="638" spans="1:10" ht="30" customHeight="1" x14ac:dyDescent="0.25">
      <c r="A638" s="60">
        <v>637</v>
      </c>
      <c r="B638" s="60">
        <v>220911042</v>
      </c>
      <c r="C638" s="60" t="s">
        <v>2121</v>
      </c>
      <c r="D638" s="60">
        <v>6.5</v>
      </c>
      <c r="E638" s="60">
        <v>7008473417</v>
      </c>
      <c r="F638" s="60" t="s">
        <v>2122</v>
      </c>
      <c r="G638" s="60" t="s">
        <v>274</v>
      </c>
      <c r="H638" s="60" t="s">
        <v>2069</v>
      </c>
      <c r="I638" s="60" t="s">
        <v>19</v>
      </c>
      <c r="J638" s="60">
        <v>360000</v>
      </c>
    </row>
    <row r="639" spans="1:10" ht="30" customHeight="1" x14ac:dyDescent="0.25">
      <c r="A639" s="60">
        <v>638</v>
      </c>
      <c r="B639" s="60">
        <v>220911542</v>
      </c>
      <c r="C639" s="60" t="s">
        <v>2123</v>
      </c>
      <c r="D639" s="60">
        <v>6.4</v>
      </c>
      <c r="E639" s="60">
        <v>8179172244</v>
      </c>
      <c r="F639" s="60" t="s">
        <v>1385</v>
      </c>
      <c r="G639" s="60" t="s">
        <v>274</v>
      </c>
      <c r="H639" s="60" t="s">
        <v>2069</v>
      </c>
      <c r="I639" s="60" t="s">
        <v>19</v>
      </c>
      <c r="J639" s="60">
        <v>360000</v>
      </c>
    </row>
    <row r="640" spans="1:10" ht="30" customHeight="1" x14ac:dyDescent="0.25">
      <c r="A640" s="60">
        <v>639</v>
      </c>
      <c r="B640" s="60">
        <v>220929276</v>
      </c>
      <c r="C640" s="60" t="s">
        <v>2053</v>
      </c>
      <c r="D640" s="60">
        <v>7.6</v>
      </c>
      <c r="E640" s="60">
        <v>9381508310</v>
      </c>
      <c r="F640" s="60" t="s">
        <v>2054</v>
      </c>
      <c r="G640" s="60" t="s">
        <v>317</v>
      </c>
      <c r="H640" s="60" t="s">
        <v>2069</v>
      </c>
      <c r="I640" s="60" t="s">
        <v>19</v>
      </c>
      <c r="J640" s="60">
        <v>360000</v>
      </c>
    </row>
    <row r="641" spans="1:10" ht="30" customHeight="1" x14ac:dyDescent="0.25">
      <c r="A641" s="60">
        <v>640</v>
      </c>
      <c r="B641" s="60">
        <v>220929182</v>
      </c>
      <c r="C641" s="60" t="s">
        <v>2124</v>
      </c>
      <c r="D641" s="60">
        <v>7.47</v>
      </c>
      <c r="E641" s="60">
        <v>6397465576</v>
      </c>
      <c r="F641" s="60" t="s">
        <v>2125</v>
      </c>
      <c r="G641" s="60" t="s">
        <v>317</v>
      </c>
      <c r="H641" s="60" t="s">
        <v>2069</v>
      </c>
      <c r="I641" s="60" t="s">
        <v>19</v>
      </c>
      <c r="J641" s="60">
        <v>360000</v>
      </c>
    </row>
    <row r="642" spans="1:10" ht="30" customHeight="1" x14ac:dyDescent="0.25">
      <c r="A642" s="60">
        <v>641</v>
      </c>
      <c r="B642" s="60">
        <v>220929324</v>
      </c>
      <c r="C642" s="60" t="s">
        <v>2126</v>
      </c>
      <c r="D642" s="60">
        <v>7.43</v>
      </c>
      <c r="E642" s="60">
        <v>9787024365</v>
      </c>
      <c r="F642" s="60" t="s">
        <v>2127</v>
      </c>
      <c r="G642" s="60" t="s">
        <v>317</v>
      </c>
      <c r="H642" s="60" t="s">
        <v>2069</v>
      </c>
      <c r="I642" s="60" t="s">
        <v>19</v>
      </c>
      <c r="J642" s="60">
        <v>360000</v>
      </c>
    </row>
    <row r="643" spans="1:10" ht="30" customHeight="1" x14ac:dyDescent="0.25">
      <c r="A643" s="60">
        <v>642</v>
      </c>
      <c r="B643" s="60">
        <v>220929244</v>
      </c>
      <c r="C643" s="60" t="s">
        <v>2015</v>
      </c>
      <c r="D643" s="60">
        <v>7.42</v>
      </c>
      <c r="E643" s="60">
        <v>9538164345</v>
      </c>
      <c r="F643" s="60" t="s">
        <v>2016</v>
      </c>
      <c r="G643" s="60" t="s">
        <v>317</v>
      </c>
      <c r="H643" s="60" t="s">
        <v>2069</v>
      </c>
      <c r="I643" s="60" t="s">
        <v>19</v>
      </c>
      <c r="J643" s="60">
        <v>360000</v>
      </c>
    </row>
    <row r="644" spans="1:10" ht="30" customHeight="1" x14ac:dyDescent="0.25">
      <c r="A644" s="60">
        <v>643</v>
      </c>
      <c r="B644" s="60">
        <v>220929314</v>
      </c>
      <c r="C644" s="60" t="s">
        <v>2128</v>
      </c>
      <c r="D644" s="60">
        <v>7.41</v>
      </c>
      <c r="E644" s="60">
        <v>9741841805</v>
      </c>
      <c r="F644" s="60" t="s">
        <v>2129</v>
      </c>
      <c r="G644" s="60" t="s">
        <v>317</v>
      </c>
      <c r="H644" s="60" t="s">
        <v>2069</v>
      </c>
      <c r="I644" s="60" t="s">
        <v>19</v>
      </c>
      <c r="J644" s="60">
        <v>360000</v>
      </c>
    </row>
    <row r="645" spans="1:10" ht="30" customHeight="1" x14ac:dyDescent="0.25">
      <c r="A645" s="60">
        <v>644</v>
      </c>
      <c r="B645" s="60">
        <v>220929112</v>
      </c>
      <c r="C645" s="60" t="s">
        <v>2130</v>
      </c>
      <c r="D645" s="60">
        <v>7.26</v>
      </c>
      <c r="E645" s="60">
        <v>7909292220</v>
      </c>
      <c r="F645" s="60" t="s">
        <v>2131</v>
      </c>
      <c r="G645" s="60" t="s">
        <v>317</v>
      </c>
      <c r="H645" s="60" t="s">
        <v>2069</v>
      </c>
      <c r="I645" s="60" t="s">
        <v>19</v>
      </c>
      <c r="J645" s="60">
        <v>360000</v>
      </c>
    </row>
    <row r="646" spans="1:10" ht="30" customHeight="1" x14ac:dyDescent="0.25">
      <c r="A646" s="60">
        <v>645</v>
      </c>
      <c r="B646" s="60">
        <v>220929240</v>
      </c>
      <c r="C646" s="60" t="s">
        <v>2132</v>
      </c>
      <c r="D646" s="60">
        <v>6.93</v>
      </c>
      <c r="E646" s="60">
        <v>7901695395</v>
      </c>
      <c r="F646" s="60" t="s">
        <v>2133</v>
      </c>
      <c r="G646" s="60" t="s">
        <v>317</v>
      </c>
      <c r="H646" s="60" t="s">
        <v>2069</v>
      </c>
      <c r="I646" s="60" t="s">
        <v>19</v>
      </c>
      <c r="J646" s="60">
        <v>360000</v>
      </c>
    </row>
    <row r="647" spans="1:10" ht="30" customHeight="1" x14ac:dyDescent="0.25">
      <c r="A647" s="60">
        <v>646</v>
      </c>
      <c r="B647" s="60">
        <v>220929174</v>
      </c>
      <c r="C647" s="60" t="s">
        <v>2134</v>
      </c>
      <c r="D647" s="60">
        <v>6.75</v>
      </c>
      <c r="E647" s="60">
        <v>9392729879</v>
      </c>
      <c r="F647" s="60" t="s">
        <v>2135</v>
      </c>
      <c r="G647" s="60" t="s">
        <v>317</v>
      </c>
      <c r="H647" s="60" t="s">
        <v>2069</v>
      </c>
      <c r="I647" s="60" t="s">
        <v>19</v>
      </c>
      <c r="J647" s="60">
        <v>360000</v>
      </c>
    </row>
    <row r="648" spans="1:10" ht="30" customHeight="1" x14ac:dyDescent="0.25">
      <c r="A648" s="60">
        <v>647</v>
      </c>
      <c r="B648" s="60">
        <v>220933098</v>
      </c>
      <c r="C648" s="60" t="s">
        <v>2136</v>
      </c>
      <c r="D648" s="60">
        <v>7.11</v>
      </c>
      <c r="E648" s="60">
        <v>8401207703</v>
      </c>
      <c r="F648" s="60" t="s">
        <v>2137</v>
      </c>
      <c r="G648" s="60" t="s">
        <v>330</v>
      </c>
      <c r="H648" s="60" t="s">
        <v>228</v>
      </c>
      <c r="I648" s="60" t="s">
        <v>19</v>
      </c>
      <c r="J648" s="60">
        <v>405233</v>
      </c>
    </row>
    <row r="649" spans="1:10" ht="30" customHeight="1" x14ac:dyDescent="0.25">
      <c r="A649" s="60">
        <v>648</v>
      </c>
      <c r="B649" s="60">
        <v>220924152</v>
      </c>
      <c r="C649" s="60" t="s">
        <v>962</v>
      </c>
      <c r="D649" s="60">
        <v>7.76</v>
      </c>
      <c r="E649" s="60">
        <v>7908706534</v>
      </c>
      <c r="F649" s="60" t="s">
        <v>963</v>
      </c>
      <c r="G649" s="60" t="s">
        <v>964</v>
      </c>
      <c r="H649" s="60" t="s">
        <v>228</v>
      </c>
      <c r="I649" s="60" t="s">
        <v>19</v>
      </c>
      <c r="J649" s="60">
        <v>405233</v>
      </c>
    </row>
    <row r="650" spans="1:10" ht="30" customHeight="1" x14ac:dyDescent="0.25">
      <c r="A650" s="60">
        <v>649</v>
      </c>
      <c r="B650" s="60">
        <v>220953480</v>
      </c>
      <c r="C650" s="60" t="s">
        <v>1220</v>
      </c>
      <c r="D650" s="60">
        <v>6.45</v>
      </c>
      <c r="E650" s="60">
        <v>8931086634</v>
      </c>
      <c r="F650" s="60" t="s">
        <v>1221</v>
      </c>
      <c r="G650" s="60" t="s">
        <v>261</v>
      </c>
      <c r="H650" s="60" t="s">
        <v>228</v>
      </c>
      <c r="I650" s="60" t="s">
        <v>19</v>
      </c>
      <c r="J650" s="60">
        <v>405233</v>
      </c>
    </row>
    <row r="651" spans="1:10" ht="30" customHeight="1" x14ac:dyDescent="0.25">
      <c r="A651" s="60">
        <v>650</v>
      </c>
      <c r="B651" s="60">
        <v>220905007</v>
      </c>
      <c r="C651" s="60" t="s">
        <v>2138</v>
      </c>
      <c r="D651" s="60">
        <v>8.74</v>
      </c>
      <c r="E651" s="60">
        <v>8527227772</v>
      </c>
      <c r="F651" s="60" t="s">
        <v>2139</v>
      </c>
      <c r="G651" s="60" t="s">
        <v>256</v>
      </c>
      <c r="H651" s="60" t="s">
        <v>228</v>
      </c>
      <c r="I651" s="60" t="s">
        <v>19</v>
      </c>
      <c r="J651" s="60">
        <v>405233</v>
      </c>
    </row>
    <row r="652" spans="1:10" ht="30" customHeight="1" x14ac:dyDescent="0.25">
      <c r="A652" s="60">
        <v>651</v>
      </c>
      <c r="B652" s="60">
        <v>220905020</v>
      </c>
      <c r="C652" s="60" t="s">
        <v>1078</v>
      </c>
      <c r="D652" s="60">
        <v>8.0299999999999994</v>
      </c>
      <c r="E652" s="60">
        <v>9108727229</v>
      </c>
      <c r="F652" s="60" t="s">
        <v>1079</v>
      </c>
      <c r="G652" s="60" t="s">
        <v>256</v>
      </c>
      <c r="H652" s="60" t="s">
        <v>228</v>
      </c>
      <c r="I652" s="60" t="s">
        <v>19</v>
      </c>
      <c r="J652" s="60">
        <v>405233</v>
      </c>
    </row>
    <row r="653" spans="1:10" ht="30" customHeight="1" x14ac:dyDescent="0.25">
      <c r="A653" s="60">
        <v>652</v>
      </c>
      <c r="B653" s="60">
        <v>220905246</v>
      </c>
      <c r="C653" s="60" t="s">
        <v>1166</v>
      </c>
      <c r="D653" s="60">
        <v>7.88</v>
      </c>
      <c r="E653" s="60">
        <v>9052365678</v>
      </c>
      <c r="F653" s="60" t="s">
        <v>1167</v>
      </c>
      <c r="G653" s="60" t="s">
        <v>256</v>
      </c>
      <c r="H653" s="60" t="s">
        <v>228</v>
      </c>
      <c r="I653" s="60" t="s">
        <v>19</v>
      </c>
      <c r="J653" s="60">
        <v>405233</v>
      </c>
    </row>
    <row r="654" spans="1:10" ht="30" customHeight="1" x14ac:dyDescent="0.25">
      <c r="A654" s="60">
        <v>653</v>
      </c>
      <c r="B654" s="60">
        <v>220905134</v>
      </c>
      <c r="C654" s="60" t="s">
        <v>1660</v>
      </c>
      <c r="D654" s="60">
        <v>6.88</v>
      </c>
      <c r="E654" s="60">
        <v>6283518525</v>
      </c>
      <c r="F654" s="60" t="s">
        <v>1661</v>
      </c>
      <c r="G654" s="60" t="s">
        <v>256</v>
      </c>
      <c r="H654" s="60" t="s">
        <v>228</v>
      </c>
      <c r="I654" s="60" t="s">
        <v>19</v>
      </c>
      <c r="J654" s="60">
        <v>405233</v>
      </c>
    </row>
    <row r="655" spans="1:10" ht="30" customHeight="1" x14ac:dyDescent="0.25">
      <c r="A655" s="60">
        <v>654</v>
      </c>
      <c r="B655" s="60">
        <v>220905484</v>
      </c>
      <c r="C655" s="60" t="s">
        <v>2080</v>
      </c>
      <c r="D655" s="60">
        <v>6.83</v>
      </c>
      <c r="E655" s="60">
        <v>7015747422</v>
      </c>
      <c r="F655" s="60" t="s">
        <v>2081</v>
      </c>
      <c r="G655" s="60" t="s">
        <v>256</v>
      </c>
      <c r="H655" s="60" t="s">
        <v>228</v>
      </c>
      <c r="I655" s="60" t="s">
        <v>19</v>
      </c>
      <c r="J655" s="60">
        <v>405233</v>
      </c>
    </row>
    <row r="656" spans="1:10" ht="30" customHeight="1" x14ac:dyDescent="0.25">
      <c r="A656" s="60">
        <v>655</v>
      </c>
      <c r="B656" s="60">
        <v>220962067</v>
      </c>
      <c r="C656" s="60" t="s">
        <v>2140</v>
      </c>
      <c r="D656" s="60">
        <v>6.76</v>
      </c>
      <c r="E656" s="60">
        <v>9663760423</v>
      </c>
      <c r="F656" s="60" t="s">
        <v>2141</v>
      </c>
      <c r="G656" s="60" t="s">
        <v>253</v>
      </c>
      <c r="H656" s="60" t="s">
        <v>228</v>
      </c>
      <c r="I656" s="60" t="s">
        <v>19</v>
      </c>
      <c r="J656" s="60">
        <v>405233</v>
      </c>
    </row>
    <row r="657" spans="1:10" ht="30" customHeight="1" x14ac:dyDescent="0.25">
      <c r="A657" s="60">
        <v>656</v>
      </c>
      <c r="B657" s="60">
        <v>220968432</v>
      </c>
      <c r="C657" s="60" t="s">
        <v>1005</v>
      </c>
      <c r="D657" s="60">
        <v>7.97</v>
      </c>
      <c r="E657" s="60">
        <v>6382391945</v>
      </c>
      <c r="F657" s="60" t="s">
        <v>1006</v>
      </c>
      <c r="G657" s="60" t="s">
        <v>384</v>
      </c>
      <c r="H657" s="60" t="s">
        <v>228</v>
      </c>
      <c r="I657" s="60" t="s">
        <v>19</v>
      </c>
      <c r="J657" s="60">
        <v>405233</v>
      </c>
    </row>
    <row r="658" spans="1:10" ht="30" customHeight="1" x14ac:dyDescent="0.25">
      <c r="A658" s="60">
        <v>657</v>
      </c>
      <c r="B658" s="60">
        <v>220968084</v>
      </c>
      <c r="C658" s="60" t="s">
        <v>2098</v>
      </c>
      <c r="D658" s="60">
        <v>7.54</v>
      </c>
      <c r="E658" s="60">
        <v>8919251465</v>
      </c>
      <c r="F658" s="60" t="s">
        <v>2099</v>
      </c>
      <c r="G658" s="60" t="s">
        <v>384</v>
      </c>
      <c r="H658" s="60" t="s">
        <v>228</v>
      </c>
      <c r="I658" s="60" t="s">
        <v>19</v>
      </c>
      <c r="J658" s="60">
        <v>405233</v>
      </c>
    </row>
    <row r="659" spans="1:10" ht="30" customHeight="1" x14ac:dyDescent="0.25">
      <c r="A659" s="60">
        <v>658</v>
      </c>
      <c r="B659" s="60">
        <v>220968206</v>
      </c>
      <c r="C659" s="60" t="s">
        <v>1951</v>
      </c>
      <c r="D659" s="60">
        <v>6.26</v>
      </c>
      <c r="E659" s="60">
        <v>9150404857</v>
      </c>
      <c r="F659" s="60" t="s">
        <v>1952</v>
      </c>
      <c r="G659" s="60" t="s">
        <v>384</v>
      </c>
      <c r="H659" s="60" t="s">
        <v>228</v>
      </c>
      <c r="I659" s="60" t="s">
        <v>19</v>
      </c>
      <c r="J659" s="60">
        <v>405233</v>
      </c>
    </row>
    <row r="660" spans="1:10" ht="30" customHeight="1" x14ac:dyDescent="0.25">
      <c r="A660" s="60">
        <v>659</v>
      </c>
      <c r="B660" s="60">
        <v>220906620</v>
      </c>
      <c r="C660" s="60" t="s">
        <v>2142</v>
      </c>
      <c r="D660" s="60">
        <v>7.1</v>
      </c>
      <c r="E660" s="60">
        <v>8828123515</v>
      </c>
      <c r="F660" s="60" t="s">
        <v>2143</v>
      </c>
      <c r="G660" s="60" t="s">
        <v>478</v>
      </c>
      <c r="H660" s="60" t="s">
        <v>228</v>
      </c>
      <c r="I660" s="60" t="s">
        <v>19</v>
      </c>
      <c r="J660" s="60">
        <v>405233</v>
      </c>
    </row>
    <row r="661" spans="1:10" ht="30" customHeight="1" x14ac:dyDescent="0.25">
      <c r="A661" s="60">
        <v>660</v>
      </c>
      <c r="B661" s="60">
        <v>210906136</v>
      </c>
      <c r="C661" s="60" t="s">
        <v>1256</v>
      </c>
      <c r="D661" s="60">
        <v>6.53</v>
      </c>
      <c r="E661" s="60">
        <v>6304345589</v>
      </c>
      <c r="F661" s="60" t="s">
        <v>1257</v>
      </c>
      <c r="G661" s="60" t="s">
        <v>478</v>
      </c>
      <c r="H661" s="60" t="s">
        <v>228</v>
      </c>
      <c r="I661" s="60" t="s">
        <v>19</v>
      </c>
      <c r="J661" s="60">
        <v>405233</v>
      </c>
    </row>
    <row r="662" spans="1:10" ht="30" customHeight="1" x14ac:dyDescent="0.25">
      <c r="A662" s="60">
        <v>661</v>
      </c>
      <c r="B662" s="60">
        <v>220907440</v>
      </c>
      <c r="C662" s="60" t="s">
        <v>2144</v>
      </c>
      <c r="D662" s="60">
        <v>6.45</v>
      </c>
      <c r="E662" s="60">
        <v>9391480107</v>
      </c>
      <c r="F662" s="60" t="s">
        <v>2145</v>
      </c>
      <c r="G662" s="60" t="s">
        <v>277</v>
      </c>
      <c r="H662" s="60" t="s">
        <v>228</v>
      </c>
      <c r="I662" s="60" t="s">
        <v>19</v>
      </c>
      <c r="J662" s="60">
        <v>405233</v>
      </c>
    </row>
    <row r="663" spans="1:10" ht="30" customHeight="1" x14ac:dyDescent="0.25">
      <c r="A663" s="60">
        <v>662</v>
      </c>
      <c r="B663" s="60">
        <v>220932334</v>
      </c>
      <c r="C663" s="60" t="s">
        <v>2146</v>
      </c>
      <c r="D663" s="60">
        <v>6.94</v>
      </c>
      <c r="E663" s="60">
        <v>9502081444</v>
      </c>
      <c r="F663" s="60" t="s">
        <v>2147</v>
      </c>
      <c r="G663" s="60" t="s">
        <v>289</v>
      </c>
      <c r="H663" s="60" t="s">
        <v>228</v>
      </c>
      <c r="I663" s="60" t="s">
        <v>19</v>
      </c>
      <c r="J663" s="60">
        <v>405233</v>
      </c>
    </row>
    <row r="664" spans="1:10" ht="30" customHeight="1" x14ac:dyDescent="0.25">
      <c r="A664" s="60">
        <v>663</v>
      </c>
      <c r="B664" s="60">
        <v>220932044</v>
      </c>
      <c r="C664" s="60" t="s">
        <v>2148</v>
      </c>
      <c r="D664" s="60">
        <v>6.11</v>
      </c>
      <c r="E664" s="60">
        <v>6305534423</v>
      </c>
      <c r="F664" s="60" t="s">
        <v>2149</v>
      </c>
      <c r="G664" s="60" t="s">
        <v>289</v>
      </c>
      <c r="H664" s="60" t="s">
        <v>228</v>
      </c>
      <c r="I664" s="60" t="s">
        <v>19</v>
      </c>
      <c r="J664" s="60">
        <v>405233</v>
      </c>
    </row>
    <row r="665" spans="1:10" ht="30" customHeight="1" x14ac:dyDescent="0.25">
      <c r="A665" s="60">
        <v>664</v>
      </c>
      <c r="B665" s="60">
        <v>220911674</v>
      </c>
      <c r="C665" s="60" t="s">
        <v>1084</v>
      </c>
      <c r="D665" s="60">
        <v>8.31</v>
      </c>
      <c r="E665" s="60">
        <v>9560323235</v>
      </c>
      <c r="F665" s="60" t="s">
        <v>1085</v>
      </c>
      <c r="G665" s="60" t="s">
        <v>274</v>
      </c>
      <c r="H665" s="60" t="s">
        <v>228</v>
      </c>
      <c r="I665" s="60" t="s">
        <v>19</v>
      </c>
      <c r="J665" s="60">
        <v>405233</v>
      </c>
    </row>
    <row r="666" spans="1:10" ht="30" customHeight="1" x14ac:dyDescent="0.25">
      <c r="A666" s="60">
        <v>665</v>
      </c>
      <c r="B666" s="60">
        <v>220911053</v>
      </c>
      <c r="C666" s="60" t="s">
        <v>2120</v>
      </c>
      <c r="D666" s="60">
        <v>6.82</v>
      </c>
      <c r="E666" s="60">
        <v>8639154314</v>
      </c>
      <c r="F666" s="60" t="s">
        <v>2066</v>
      </c>
      <c r="G666" s="60" t="s">
        <v>274</v>
      </c>
      <c r="H666" s="60" t="s">
        <v>228</v>
      </c>
      <c r="I666" s="60" t="s">
        <v>19</v>
      </c>
      <c r="J666" s="60">
        <v>405233</v>
      </c>
    </row>
    <row r="667" spans="1:10" ht="30" customHeight="1" x14ac:dyDescent="0.25">
      <c r="A667" s="60">
        <v>666</v>
      </c>
      <c r="B667" s="60">
        <v>220911034</v>
      </c>
      <c r="C667" s="60" t="s">
        <v>1236</v>
      </c>
      <c r="D667" s="60">
        <v>6.55</v>
      </c>
      <c r="E667" s="60">
        <v>8884801124</v>
      </c>
      <c r="F667" s="60" t="s">
        <v>1237</v>
      </c>
      <c r="G667" s="60" t="s">
        <v>274</v>
      </c>
      <c r="H667" s="60" t="s">
        <v>228</v>
      </c>
      <c r="I667" s="60" t="s">
        <v>19</v>
      </c>
      <c r="J667" s="60">
        <v>405233</v>
      </c>
    </row>
    <row r="668" spans="1:10" ht="30" customHeight="1" x14ac:dyDescent="0.25">
      <c r="A668" s="60">
        <v>667</v>
      </c>
      <c r="B668" s="60">
        <v>220911354</v>
      </c>
      <c r="C668" s="60" t="s">
        <v>2150</v>
      </c>
      <c r="D668" s="60">
        <v>6.27</v>
      </c>
      <c r="E668" s="60">
        <v>9885845658</v>
      </c>
      <c r="F668" s="60" t="s">
        <v>2151</v>
      </c>
      <c r="G668" s="60" t="s">
        <v>274</v>
      </c>
      <c r="H668" s="60" t="s">
        <v>228</v>
      </c>
      <c r="I668" s="60" t="s">
        <v>19</v>
      </c>
      <c r="J668" s="60">
        <v>405233</v>
      </c>
    </row>
    <row r="669" spans="1:10" ht="30" customHeight="1" x14ac:dyDescent="0.25">
      <c r="A669" s="60">
        <v>668</v>
      </c>
      <c r="B669" s="60">
        <v>220909406</v>
      </c>
      <c r="C669" s="60" t="s">
        <v>987</v>
      </c>
      <c r="D669" s="60">
        <v>6.74</v>
      </c>
      <c r="E669" s="60">
        <v>9555292222</v>
      </c>
      <c r="F669" s="60" t="s">
        <v>988</v>
      </c>
      <c r="G669" s="60" t="s">
        <v>312</v>
      </c>
      <c r="H669" s="60" t="s">
        <v>228</v>
      </c>
      <c r="I669" s="60" t="s">
        <v>19</v>
      </c>
      <c r="J669" s="60">
        <v>405233</v>
      </c>
    </row>
    <row r="670" spans="1:10" ht="30" customHeight="1" x14ac:dyDescent="0.25">
      <c r="A670" s="60">
        <v>669</v>
      </c>
      <c r="B670" s="60">
        <v>220953486</v>
      </c>
      <c r="C670" s="60" t="s">
        <v>2152</v>
      </c>
      <c r="D670" s="60">
        <v>7.07</v>
      </c>
      <c r="E670" s="60">
        <v>9739969102</v>
      </c>
      <c r="F670" s="60" t="s">
        <v>2153</v>
      </c>
      <c r="G670" s="60" t="s">
        <v>261</v>
      </c>
      <c r="H670" s="60" t="s">
        <v>228</v>
      </c>
      <c r="I670" s="60" t="s">
        <v>19</v>
      </c>
      <c r="J670" s="60">
        <v>405233</v>
      </c>
    </row>
    <row r="671" spans="1:10" ht="30" customHeight="1" x14ac:dyDescent="0.25">
      <c r="A671" s="60">
        <v>670</v>
      </c>
      <c r="B671" s="60">
        <v>220953478</v>
      </c>
      <c r="C671" s="60" t="s">
        <v>1901</v>
      </c>
      <c r="D671" s="60">
        <v>6.98</v>
      </c>
      <c r="E671" s="60">
        <v>9310562652</v>
      </c>
      <c r="F671" s="60" t="s">
        <v>1902</v>
      </c>
      <c r="G671" s="60" t="s">
        <v>261</v>
      </c>
      <c r="H671" s="60" t="s">
        <v>228</v>
      </c>
      <c r="I671" s="60" t="s">
        <v>19</v>
      </c>
      <c r="J671" s="60">
        <v>405233</v>
      </c>
    </row>
    <row r="672" spans="1:10" ht="30" customHeight="1" x14ac:dyDescent="0.25">
      <c r="A672" s="60">
        <v>671</v>
      </c>
      <c r="B672" s="60">
        <v>220905424</v>
      </c>
      <c r="C672" s="60" t="s">
        <v>1146</v>
      </c>
      <c r="D672" s="60">
        <v>7.57</v>
      </c>
      <c r="E672" s="60">
        <v>8660075486</v>
      </c>
      <c r="F672" s="60" t="s">
        <v>1147</v>
      </c>
      <c r="G672" s="60" t="s">
        <v>256</v>
      </c>
      <c r="H672" s="60" t="s">
        <v>228</v>
      </c>
      <c r="I672" s="60" t="s">
        <v>19</v>
      </c>
      <c r="J672" s="60">
        <v>405233</v>
      </c>
    </row>
    <row r="673" spans="1:10" ht="30" customHeight="1" x14ac:dyDescent="0.25">
      <c r="A673" s="60">
        <v>672</v>
      </c>
      <c r="B673" s="60">
        <v>220962002</v>
      </c>
      <c r="C673" s="60" t="s">
        <v>2154</v>
      </c>
      <c r="D673" s="60">
        <v>6.67</v>
      </c>
      <c r="E673" s="60">
        <v>9686635291</v>
      </c>
      <c r="F673" s="60" t="s">
        <v>2022</v>
      </c>
      <c r="G673" s="60" t="s">
        <v>253</v>
      </c>
      <c r="H673" s="60" t="s">
        <v>228</v>
      </c>
      <c r="I673" s="60" t="s">
        <v>19</v>
      </c>
      <c r="J673" s="60">
        <v>405233</v>
      </c>
    </row>
    <row r="674" spans="1:10" ht="30" customHeight="1" x14ac:dyDescent="0.25">
      <c r="A674" s="60">
        <v>673</v>
      </c>
      <c r="B674" s="60">
        <v>220968354</v>
      </c>
      <c r="C674" s="60" t="s">
        <v>1839</v>
      </c>
      <c r="D674" s="60">
        <v>7.47</v>
      </c>
      <c r="E674" s="60">
        <v>7980562223</v>
      </c>
      <c r="F674" s="60" t="s">
        <v>1840</v>
      </c>
      <c r="G674" s="60" t="s">
        <v>384</v>
      </c>
      <c r="H674" s="60" t="s">
        <v>228</v>
      </c>
      <c r="I674" s="60" t="s">
        <v>19</v>
      </c>
      <c r="J674" s="60">
        <v>405233</v>
      </c>
    </row>
    <row r="675" spans="1:10" ht="30" customHeight="1" x14ac:dyDescent="0.25">
      <c r="A675" s="60">
        <v>674</v>
      </c>
      <c r="B675" s="60">
        <v>220911560</v>
      </c>
      <c r="C675" s="60" t="s">
        <v>1371</v>
      </c>
      <c r="D675" s="60">
        <v>7.34</v>
      </c>
      <c r="E675" s="60">
        <v>8329668294</v>
      </c>
      <c r="F675" s="60" t="s">
        <v>1372</v>
      </c>
      <c r="G675" s="60" t="s">
        <v>274</v>
      </c>
      <c r="H675" s="60" t="s">
        <v>228</v>
      </c>
      <c r="I675" s="60" t="s">
        <v>19</v>
      </c>
      <c r="J675" s="60">
        <v>405233</v>
      </c>
    </row>
    <row r="676" spans="1:10" ht="30" customHeight="1" x14ac:dyDescent="0.25">
      <c r="A676" s="60">
        <v>675</v>
      </c>
      <c r="B676" s="60">
        <v>220953138</v>
      </c>
      <c r="C676" s="60" t="s">
        <v>355</v>
      </c>
      <c r="D676" s="60">
        <v>9.36</v>
      </c>
      <c r="E676" s="60">
        <v>9930023651</v>
      </c>
      <c r="F676" s="60" t="s">
        <v>2155</v>
      </c>
      <c r="G676" s="60" t="s">
        <v>261</v>
      </c>
      <c r="H676" s="60" t="s">
        <v>2156</v>
      </c>
      <c r="I676" s="60" t="s">
        <v>19</v>
      </c>
      <c r="J676" s="60">
        <v>651340</v>
      </c>
    </row>
    <row r="677" spans="1:10" ht="30" customHeight="1" x14ac:dyDescent="0.25">
      <c r="A677" s="60">
        <v>676</v>
      </c>
      <c r="B677" s="60">
        <v>220953468</v>
      </c>
      <c r="C677" s="60" t="s">
        <v>1754</v>
      </c>
      <c r="D677" s="60">
        <v>8.5399999999999991</v>
      </c>
      <c r="E677" s="60">
        <v>8296856931</v>
      </c>
      <c r="F677" s="60" t="s">
        <v>1755</v>
      </c>
      <c r="G677" s="60" t="s">
        <v>261</v>
      </c>
      <c r="H677" s="60" t="s">
        <v>2156</v>
      </c>
      <c r="I677" s="60" t="s">
        <v>19</v>
      </c>
      <c r="J677" s="60">
        <v>651340</v>
      </c>
    </row>
    <row r="678" spans="1:10" ht="30" customHeight="1" x14ac:dyDescent="0.25">
      <c r="A678" s="60">
        <v>677</v>
      </c>
      <c r="B678" s="60">
        <v>220953002</v>
      </c>
      <c r="C678" s="60" t="s">
        <v>1142</v>
      </c>
      <c r="D678" s="60">
        <v>8.4</v>
      </c>
      <c r="E678" s="60">
        <v>9731542111</v>
      </c>
      <c r="F678" s="60" t="s">
        <v>1143</v>
      </c>
      <c r="G678" s="60" t="s">
        <v>261</v>
      </c>
      <c r="H678" s="60" t="s">
        <v>2156</v>
      </c>
      <c r="I678" s="60" t="s">
        <v>19</v>
      </c>
      <c r="J678" s="60">
        <v>651340</v>
      </c>
    </row>
    <row r="679" spans="1:10" ht="30" customHeight="1" x14ac:dyDescent="0.25">
      <c r="A679" s="60">
        <v>678</v>
      </c>
      <c r="B679" s="60">
        <v>220953196</v>
      </c>
      <c r="C679" s="60" t="s">
        <v>1989</v>
      </c>
      <c r="D679" s="60">
        <v>7.21</v>
      </c>
      <c r="E679" s="60">
        <v>7760605365</v>
      </c>
      <c r="F679" s="60" t="s">
        <v>1990</v>
      </c>
      <c r="G679" s="60" t="s">
        <v>261</v>
      </c>
      <c r="H679" s="60" t="s">
        <v>2156</v>
      </c>
      <c r="I679" s="60" t="s">
        <v>19</v>
      </c>
      <c r="J679" s="60">
        <v>651340</v>
      </c>
    </row>
    <row r="680" spans="1:10" ht="30" customHeight="1" x14ac:dyDescent="0.25">
      <c r="A680" s="60">
        <v>679</v>
      </c>
      <c r="B680" s="60">
        <v>220953486</v>
      </c>
      <c r="C680" s="60" t="s">
        <v>2152</v>
      </c>
      <c r="D680" s="60">
        <v>7.07</v>
      </c>
      <c r="E680" s="60">
        <v>9739969102</v>
      </c>
      <c r="F680" s="60" t="s">
        <v>2153</v>
      </c>
      <c r="G680" s="60" t="s">
        <v>261</v>
      </c>
      <c r="H680" s="60" t="s">
        <v>2156</v>
      </c>
      <c r="I680" s="60" t="s">
        <v>19</v>
      </c>
      <c r="J680" s="60">
        <v>651340</v>
      </c>
    </row>
    <row r="681" spans="1:10" ht="30" customHeight="1" x14ac:dyDescent="0.25">
      <c r="A681" s="60">
        <v>680</v>
      </c>
      <c r="B681" s="60">
        <v>220953470</v>
      </c>
      <c r="C681" s="60" t="s">
        <v>2157</v>
      </c>
      <c r="D681" s="60">
        <v>6.98</v>
      </c>
      <c r="E681" s="60">
        <v>9662422114</v>
      </c>
      <c r="F681" s="60" t="s">
        <v>2158</v>
      </c>
      <c r="G681" s="60" t="s">
        <v>261</v>
      </c>
      <c r="H681" s="60" t="s">
        <v>2156</v>
      </c>
      <c r="I681" s="60" t="s">
        <v>19</v>
      </c>
      <c r="J681" s="60">
        <v>651340</v>
      </c>
    </row>
    <row r="682" spans="1:10" ht="30" customHeight="1" x14ac:dyDescent="0.25">
      <c r="A682" s="60">
        <v>681</v>
      </c>
      <c r="B682" s="60">
        <v>220953560</v>
      </c>
      <c r="C682" s="60" t="s">
        <v>2159</v>
      </c>
      <c r="D682" s="60">
        <v>6.96</v>
      </c>
      <c r="E682" s="60">
        <v>8903243434</v>
      </c>
      <c r="F682" s="60" t="s">
        <v>2160</v>
      </c>
      <c r="G682" s="60" t="s">
        <v>261</v>
      </c>
      <c r="H682" s="60" t="s">
        <v>2156</v>
      </c>
      <c r="I682" s="60" t="s">
        <v>19</v>
      </c>
      <c r="J682" s="60">
        <v>651340</v>
      </c>
    </row>
    <row r="683" spans="1:10" ht="30" customHeight="1" x14ac:dyDescent="0.25">
      <c r="A683" s="60">
        <v>682</v>
      </c>
      <c r="B683" s="60">
        <v>220953582</v>
      </c>
      <c r="C683" s="60" t="s">
        <v>1436</v>
      </c>
      <c r="D683" s="60">
        <v>6.5</v>
      </c>
      <c r="E683" s="60">
        <v>9427120896</v>
      </c>
      <c r="F683" s="60" t="s">
        <v>1437</v>
      </c>
      <c r="G683" s="60" t="s">
        <v>261</v>
      </c>
      <c r="H683" s="60" t="s">
        <v>2156</v>
      </c>
      <c r="I683" s="60" t="s">
        <v>19</v>
      </c>
      <c r="J683" s="60">
        <v>651340</v>
      </c>
    </row>
    <row r="684" spans="1:10" ht="30" customHeight="1" x14ac:dyDescent="0.25">
      <c r="A684" s="60">
        <v>683</v>
      </c>
      <c r="B684" s="60">
        <v>210953266</v>
      </c>
      <c r="C684" s="60" t="s">
        <v>2161</v>
      </c>
      <c r="D684" s="60">
        <v>6.34</v>
      </c>
      <c r="E684" s="60">
        <v>9390558228</v>
      </c>
      <c r="F684" s="60" t="s">
        <v>2162</v>
      </c>
      <c r="G684" s="60" t="s">
        <v>261</v>
      </c>
      <c r="H684" s="60" t="s">
        <v>2156</v>
      </c>
      <c r="I684" s="60" t="s">
        <v>19</v>
      </c>
      <c r="J684" s="60">
        <v>651340</v>
      </c>
    </row>
    <row r="685" spans="1:10" ht="30" customHeight="1" x14ac:dyDescent="0.25">
      <c r="A685" s="60">
        <v>684</v>
      </c>
      <c r="B685" s="60">
        <v>220953394</v>
      </c>
      <c r="C685" s="60" t="s">
        <v>2074</v>
      </c>
      <c r="D685" s="60">
        <v>6.22</v>
      </c>
      <c r="E685" s="60">
        <v>9137222634</v>
      </c>
      <c r="F685" s="60" t="s">
        <v>2075</v>
      </c>
      <c r="G685" s="60" t="s">
        <v>261</v>
      </c>
      <c r="H685" s="60" t="s">
        <v>2156</v>
      </c>
      <c r="I685" s="60" t="s">
        <v>19</v>
      </c>
      <c r="J685" s="60">
        <v>651340</v>
      </c>
    </row>
    <row r="686" spans="1:10" ht="30" customHeight="1" x14ac:dyDescent="0.25">
      <c r="A686" s="60">
        <v>685</v>
      </c>
      <c r="B686" s="60">
        <v>220905018</v>
      </c>
      <c r="C686" s="60" t="s">
        <v>1270</v>
      </c>
      <c r="D686" s="60">
        <v>9.65</v>
      </c>
      <c r="E686" s="60">
        <v>8431775997</v>
      </c>
      <c r="F686" s="60" t="s">
        <v>1271</v>
      </c>
      <c r="G686" s="60" t="s">
        <v>256</v>
      </c>
      <c r="H686" s="60" t="s">
        <v>2156</v>
      </c>
      <c r="I686" s="60" t="s">
        <v>19</v>
      </c>
      <c r="J686" s="60">
        <v>651340</v>
      </c>
    </row>
    <row r="687" spans="1:10" ht="30" customHeight="1" x14ac:dyDescent="0.25">
      <c r="A687" s="60">
        <v>686</v>
      </c>
      <c r="B687" s="60">
        <v>220905388</v>
      </c>
      <c r="C687" s="60" t="s">
        <v>1174</v>
      </c>
      <c r="D687" s="60">
        <v>9.34</v>
      </c>
      <c r="E687" s="60">
        <v>8217843289</v>
      </c>
      <c r="F687" s="60" t="s">
        <v>1175</v>
      </c>
      <c r="G687" s="60" t="s">
        <v>256</v>
      </c>
      <c r="H687" s="60" t="s">
        <v>2156</v>
      </c>
      <c r="I687" s="60" t="s">
        <v>19</v>
      </c>
      <c r="J687" s="60">
        <v>651340</v>
      </c>
    </row>
    <row r="688" spans="1:10" ht="30" customHeight="1" x14ac:dyDescent="0.25">
      <c r="A688" s="60">
        <v>687</v>
      </c>
      <c r="B688" s="60">
        <v>220905314</v>
      </c>
      <c r="C688" s="60" t="s">
        <v>1764</v>
      </c>
      <c r="D688" s="60">
        <v>9.2899999999999991</v>
      </c>
      <c r="E688" s="60">
        <v>9910325307</v>
      </c>
      <c r="F688" s="60" t="s">
        <v>1765</v>
      </c>
      <c r="G688" s="60" t="s">
        <v>256</v>
      </c>
      <c r="H688" s="60" t="s">
        <v>2156</v>
      </c>
      <c r="I688" s="60" t="s">
        <v>19</v>
      </c>
      <c r="J688" s="60">
        <v>651340</v>
      </c>
    </row>
    <row r="689" spans="1:10" ht="30" customHeight="1" x14ac:dyDescent="0.25">
      <c r="A689" s="60">
        <v>688</v>
      </c>
      <c r="B689" s="60">
        <v>220905016</v>
      </c>
      <c r="C689" s="60" t="s">
        <v>1719</v>
      </c>
      <c r="D689" s="60">
        <v>9.27</v>
      </c>
      <c r="E689" s="60">
        <v>9611883273</v>
      </c>
      <c r="F689" s="60" t="s">
        <v>1720</v>
      </c>
      <c r="G689" s="60" t="s">
        <v>256</v>
      </c>
      <c r="H689" s="60" t="s">
        <v>2156</v>
      </c>
      <c r="I689" s="60" t="s">
        <v>19</v>
      </c>
      <c r="J689" s="60">
        <v>651340</v>
      </c>
    </row>
    <row r="690" spans="1:10" ht="30" customHeight="1" x14ac:dyDescent="0.25">
      <c r="A690" s="60">
        <v>689</v>
      </c>
      <c r="B690" s="60">
        <v>220905010</v>
      </c>
      <c r="C690" s="60" t="s">
        <v>995</v>
      </c>
      <c r="D690" s="60">
        <v>8.9600000000000009</v>
      </c>
      <c r="E690" s="60">
        <v>7975158323</v>
      </c>
      <c r="F690" s="60" t="s">
        <v>996</v>
      </c>
      <c r="G690" s="60" t="s">
        <v>256</v>
      </c>
      <c r="H690" s="60" t="s">
        <v>2156</v>
      </c>
      <c r="I690" s="60" t="s">
        <v>19</v>
      </c>
      <c r="J690" s="60">
        <v>651340</v>
      </c>
    </row>
    <row r="691" spans="1:10" ht="30" customHeight="1" x14ac:dyDescent="0.25">
      <c r="A691" s="60">
        <v>690</v>
      </c>
      <c r="B691" s="60">
        <v>220905014</v>
      </c>
      <c r="C691" s="60" t="s">
        <v>1076</v>
      </c>
      <c r="D691" s="60">
        <v>8.69</v>
      </c>
      <c r="E691" s="60">
        <v>9611388525</v>
      </c>
      <c r="F691" s="60" t="s">
        <v>1077</v>
      </c>
      <c r="G691" s="60" t="s">
        <v>256</v>
      </c>
      <c r="H691" s="60" t="s">
        <v>2156</v>
      </c>
      <c r="I691" s="60" t="s">
        <v>19</v>
      </c>
      <c r="J691" s="60">
        <v>651340</v>
      </c>
    </row>
    <row r="692" spans="1:10" ht="30" customHeight="1" x14ac:dyDescent="0.25">
      <c r="A692" s="60">
        <v>691</v>
      </c>
      <c r="B692" s="60">
        <v>220905168</v>
      </c>
      <c r="C692" s="60" t="s">
        <v>2163</v>
      </c>
      <c r="D692" s="60">
        <v>6.88</v>
      </c>
      <c r="E692" s="60">
        <v>9102004728</v>
      </c>
      <c r="F692" s="60" t="s">
        <v>2164</v>
      </c>
      <c r="G692" s="60" t="s">
        <v>256</v>
      </c>
      <c r="H692" s="60" t="s">
        <v>2156</v>
      </c>
      <c r="I692" s="60" t="s">
        <v>19</v>
      </c>
      <c r="J692" s="60">
        <v>651340</v>
      </c>
    </row>
    <row r="693" spans="1:10" ht="30" customHeight="1" x14ac:dyDescent="0.25">
      <c r="A693" s="60">
        <v>692</v>
      </c>
      <c r="B693" s="60">
        <v>220905134</v>
      </c>
      <c r="C693" s="60" t="s">
        <v>1660</v>
      </c>
      <c r="D693" s="60">
        <v>6.88</v>
      </c>
      <c r="E693" s="60">
        <v>6283518525</v>
      </c>
      <c r="F693" s="60" t="s">
        <v>1661</v>
      </c>
      <c r="G693" s="60" t="s">
        <v>256</v>
      </c>
      <c r="H693" s="60" t="s">
        <v>2156</v>
      </c>
      <c r="I693" s="60" t="s">
        <v>19</v>
      </c>
      <c r="J693" s="60">
        <v>651340</v>
      </c>
    </row>
    <row r="694" spans="1:10" ht="30" customHeight="1" x14ac:dyDescent="0.25">
      <c r="A694" s="60">
        <v>693</v>
      </c>
      <c r="B694" s="60">
        <v>220905484</v>
      </c>
      <c r="C694" s="60" t="s">
        <v>2080</v>
      </c>
      <c r="D694" s="60">
        <v>6.83</v>
      </c>
      <c r="E694" s="60">
        <v>7015747422</v>
      </c>
      <c r="F694" s="60" t="s">
        <v>2081</v>
      </c>
      <c r="G694" s="60" t="s">
        <v>256</v>
      </c>
      <c r="H694" s="60" t="s">
        <v>2156</v>
      </c>
      <c r="I694" s="60" t="s">
        <v>19</v>
      </c>
      <c r="J694" s="60">
        <v>651340</v>
      </c>
    </row>
    <row r="695" spans="1:10" ht="30" customHeight="1" x14ac:dyDescent="0.25">
      <c r="A695" s="60">
        <v>694</v>
      </c>
      <c r="B695" s="60">
        <v>220905378</v>
      </c>
      <c r="C695" s="60" t="s">
        <v>2082</v>
      </c>
      <c r="D695" s="60">
        <v>6.81</v>
      </c>
      <c r="E695" s="60">
        <v>7018611772</v>
      </c>
      <c r="F695" s="60" t="s">
        <v>2083</v>
      </c>
      <c r="G695" s="60" t="s">
        <v>256</v>
      </c>
      <c r="H695" s="60" t="s">
        <v>2156</v>
      </c>
      <c r="I695" s="60" t="s">
        <v>19</v>
      </c>
      <c r="J695" s="60">
        <v>651340</v>
      </c>
    </row>
    <row r="696" spans="1:10" ht="30" customHeight="1" x14ac:dyDescent="0.25">
      <c r="A696" s="60">
        <v>695</v>
      </c>
      <c r="B696" s="60">
        <v>220905324</v>
      </c>
      <c r="C696" s="60" t="s">
        <v>2165</v>
      </c>
      <c r="D696" s="60">
        <v>6.79</v>
      </c>
      <c r="E696" s="60">
        <v>9084603876</v>
      </c>
      <c r="F696" s="60" t="s">
        <v>2166</v>
      </c>
      <c r="G696" s="60" t="s">
        <v>256</v>
      </c>
      <c r="H696" s="60" t="s">
        <v>2156</v>
      </c>
      <c r="I696" s="60" t="s">
        <v>19</v>
      </c>
      <c r="J696" s="60">
        <v>651340</v>
      </c>
    </row>
    <row r="697" spans="1:10" ht="30" customHeight="1" x14ac:dyDescent="0.25">
      <c r="A697" s="60">
        <v>696</v>
      </c>
      <c r="B697" s="60">
        <v>220905541</v>
      </c>
      <c r="C697" s="60" t="s">
        <v>2167</v>
      </c>
      <c r="D697" s="60">
        <v>6.77</v>
      </c>
      <c r="E697" s="60">
        <v>8252620112</v>
      </c>
      <c r="F697" s="60" t="s">
        <v>2168</v>
      </c>
      <c r="G697" s="60" t="s">
        <v>256</v>
      </c>
      <c r="H697" s="60" t="s">
        <v>2156</v>
      </c>
      <c r="I697" s="60" t="s">
        <v>19</v>
      </c>
      <c r="J697" s="60">
        <v>651340</v>
      </c>
    </row>
    <row r="698" spans="1:10" ht="30" customHeight="1" x14ac:dyDescent="0.25">
      <c r="A698" s="60">
        <v>697</v>
      </c>
      <c r="B698" s="60">
        <v>220905394</v>
      </c>
      <c r="C698" s="60" t="s">
        <v>2169</v>
      </c>
      <c r="D698" s="60">
        <v>6.53</v>
      </c>
      <c r="E698" s="60">
        <v>8300165294</v>
      </c>
      <c r="F698" s="60" t="s">
        <v>2170</v>
      </c>
      <c r="G698" s="60" t="s">
        <v>256</v>
      </c>
      <c r="H698" s="60" t="s">
        <v>2156</v>
      </c>
      <c r="I698" s="60" t="s">
        <v>19</v>
      </c>
      <c r="J698" s="60">
        <v>651340</v>
      </c>
    </row>
    <row r="699" spans="1:10" ht="30" customHeight="1" x14ac:dyDescent="0.25">
      <c r="A699" s="60">
        <v>698</v>
      </c>
      <c r="B699" s="60">
        <v>220905508</v>
      </c>
      <c r="C699" s="60" t="s">
        <v>1375</v>
      </c>
      <c r="D699" s="60">
        <v>6.3</v>
      </c>
      <c r="E699" s="60">
        <v>9515118012</v>
      </c>
      <c r="F699" s="60" t="s">
        <v>1376</v>
      </c>
      <c r="G699" s="60" t="s">
        <v>256</v>
      </c>
      <c r="H699" s="60" t="s">
        <v>2156</v>
      </c>
      <c r="I699" s="60" t="s">
        <v>19</v>
      </c>
      <c r="J699" s="60">
        <v>651340</v>
      </c>
    </row>
    <row r="700" spans="1:10" ht="30" customHeight="1" x14ac:dyDescent="0.25">
      <c r="A700" s="60">
        <v>699</v>
      </c>
      <c r="B700" s="60">
        <v>220962366</v>
      </c>
      <c r="C700" s="60" t="s">
        <v>1649</v>
      </c>
      <c r="D700" s="60">
        <v>9.4700000000000006</v>
      </c>
      <c r="E700" s="60">
        <v>9025739494</v>
      </c>
      <c r="F700" s="60" t="s">
        <v>1650</v>
      </c>
      <c r="G700" s="60" t="s">
        <v>253</v>
      </c>
      <c r="H700" s="60" t="s">
        <v>2156</v>
      </c>
      <c r="I700" s="60" t="s">
        <v>19</v>
      </c>
      <c r="J700" s="60">
        <v>651340</v>
      </c>
    </row>
    <row r="701" spans="1:10" ht="30" customHeight="1" x14ac:dyDescent="0.25">
      <c r="A701" s="60">
        <v>700</v>
      </c>
      <c r="B701" s="60">
        <v>220962098</v>
      </c>
      <c r="C701" s="60" t="s">
        <v>1778</v>
      </c>
      <c r="D701" s="60">
        <v>9.32</v>
      </c>
      <c r="E701" s="60">
        <v>9632477752</v>
      </c>
      <c r="F701" s="60" t="s">
        <v>1779</v>
      </c>
      <c r="G701" s="60" t="s">
        <v>253</v>
      </c>
      <c r="H701" s="60" t="s">
        <v>2156</v>
      </c>
      <c r="I701" s="60" t="s">
        <v>19</v>
      </c>
      <c r="J701" s="60">
        <v>651340</v>
      </c>
    </row>
    <row r="702" spans="1:10" ht="30" customHeight="1" x14ac:dyDescent="0.25">
      <c r="A702" s="60">
        <v>701</v>
      </c>
      <c r="B702" s="60">
        <v>220962242</v>
      </c>
      <c r="C702" s="60" t="s">
        <v>2061</v>
      </c>
      <c r="D702" s="60">
        <v>8.44</v>
      </c>
      <c r="E702" s="60">
        <v>8355921665</v>
      </c>
      <c r="F702" s="60" t="s">
        <v>2062</v>
      </c>
      <c r="G702" s="60" t="s">
        <v>253</v>
      </c>
      <c r="H702" s="60" t="s">
        <v>2156</v>
      </c>
      <c r="I702" s="60" t="s">
        <v>19</v>
      </c>
      <c r="J702" s="60">
        <v>651340</v>
      </c>
    </row>
    <row r="703" spans="1:10" ht="30" customHeight="1" x14ac:dyDescent="0.25">
      <c r="A703" s="60">
        <v>702</v>
      </c>
      <c r="B703" s="60">
        <v>220962129</v>
      </c>
      <c r="C703" s="60" t="s">
        <v>2171</v>
      </c>
      <c r="D703" s="60">
        <v>8.07</v>
      </c>
      <c r="E703" s="60">
        <v>9901788846</v>
      </c>
      <c r="F703" s="60" t="s">
        <v>2172</v>
      </c>
      <c r="G703" s="60" t="s">
        <v>253</v>
      </c>
      <c r="H703" s="60" t="s">
        <v>2156</v>
      </c>
      <c r="I703" s="60" t="s">
        <v>19</v>
      </c>
      <c r="J703" s="60">
        <v>651340</v>
      </c>
    </row>
    <row r="704" spans="1:10" ht="30" customHeight="1" x14ac:dyDescent="0.25">
      <c r="A704" s="60">
        <v>703</v>
      </c>
      <c r="B704" s="60">
        <v>220962258</v>
      </c>
      <c r="C704" s="60" t="s">
        <v>1150</v>
      </c>
      <c r="D704" s="60">
        <v>7.63</v>
      </c>
      <c r="E704" s="60">
        <v>8086484000</v>
      </c>
      <c r="F704" s="60" t="s">
        <v>1151</v>
      </c>
      <c r="G704" s="60" t="s">
        <v>253</v>
      </c>
      <c r="H704" s="60" t="s">
        <v>2156</v>
      </c>
      <c r="I704" s="60" t="s">
        <v>19</v>
      </c>
      <c r="J704" s="60">
        <v>651340</v>
      </c>
    </row>
    <row r="705" spans="1:10" ht="30" customHeight="1" x14ac:dyDescent="0.25">
      <c r="A705" s="60">
        <v>704</v>
      </c>
      <c r="B705" s="60">
        <v>220962376</v>
      </c>
      <c r="C705" s="60" t="s">
        <v>2090</v>
      </c>
      <c r="D705" s="60">
        <v>6.21</v>
      </c>
      <c r="E705" s="60">
        <v>8688549644</v>
      </c>
      <c r="F705" s="60" t="s">
        <v>2091</v>
      </c>
      <c r="G705" s="60" t="s">
        <v>253</v>
      </c>
      <c r="H705" s="60" t="s">
        <v>2156</v>
      </c>
      <c r="I705" s="60" t="s">
        <v>19</v>
      </c>
      <c r="J705" s="60">
        <v>651340</v>
      </c>
    </row>
    <row r="706" spans="1:10" ht="30" customHeight="1" x14ac:dyDescent="0.25">
      <c r="A706" s="60">
        <v>705</v>
      </c>
      <c r="B706" s="60">
        <v>220961034</v>
      </c>
      <c r="C706" s="60" t="s">
        <v>2063</v>
      </c>
      <c r="D706" s="60">
        <v>8.93</v>
      </c>
      <c r="E706" s="60">
        <v>9372527798</v>
      </c>
      <c r="F706" s="60" t="s">
        <v>2064</v>
      </c>
      <c r="G706" s="60" t="s">
        <v>541</v>
      </c>
      <c r="H706" s="60" t="s">
        <v>2156</v>
      </c>
      <c r="I706" s="60" t="s">
        <v>19</v>
      </c>
      <c r="J706" s="60">
        <v>651340</v>
      </c>
    </row>
    <row r="707" spans="1:10" ht="30" customHeight="1" x14ac:dyDescent="0.25">
      <c r="A707" s="60">
        <v>706</v>
      </c>
      <c r="B707" s="60">
        <v>220961044</v>
      </c>
      <c r="C707" s="60" t="s">
        <v>1614</v>
      </c>
      <c r="D707" s="60">
        <v>8.86</v>
      </c>
      <c r="E707" s="60">
        <v>7697081114</v>
      </c>
      <c r="F707" s="60" t="s">
        <v>1615</v>
      </c>
      <c r="G707" s="60" t="s">
        <v>541</v>
      </c>
      <c r="H707" s="60" t="s">
        <v>2156</v>
      </c>
      <c r="I707" s="60" t="s">
        <v>19</v>
      </c>
      <c r="J707" s="60">
        <v>651340</v>
      </c>
    </row>
    <row r="708" spans="1:10" ht="30" customHeight="1" x14ac:dyDescent="0.25">
      <c r="A708" s="60">
        <v>707</v>
      </c>
      <c r="B708" s="60">
        <v>220961038</v>
      </c>
      <c r="C708" s="60" t="s">
        <v>2094</v>
      </c>
      <c r="D708" s="60">
        <v>8.25</v>
      </c>
      <c r="E708" s="60">
        <v>6364401720</v>
      </c>
      <c r="F708" s="60" t="s">
        <v>2095</v>
      </c>
      <c r="G708" s="60" t="s">
        <v>541</v>
      </c>
      <c r="H708" s="60" t="s">
        <v>2156</v>
      </c>
      <c r="I708" s="60" t="s">
        <v>19</v>
      </c>
      <c r="J708" s="60">
        <v>651340</v>
      </c>
    </row>
    <row r="709" spans="1:10" ht="30" customHeight="1" x14ac:dyDescent="0.25">
      <c r="A709" s="60">
        <v>708</v>
      </c>
      <c r="B709" s="60">
        <v>220961088</v>
      </c>
      <c r="C709" s="60" t="s">
        <v>2173</v>
      </c>
      <c r="D709" s="60">
        <v>7.59</v>
      </c>
      <c r="E709" s="60">
        <v>9968663524</v>
      </c>
      <c r="F709" s="60" t="s">
        <v>2174</v>
      </c>
      <c r="G709" s="60" t="s">
        <v>541</v>
      </c>
      <c r="H709" s="60" t="s">
        <v>2156</v>
      </c>
      <c r="I709" s="60" t="s">
        <v>19</v>
      </c>
      <c r="J709" s="60">
        <v>651340</v>
      </c>
    </row>
    <row r="710" spans="1:10" ht="30" customHeight="1" x14ac:dyDescent="0.25">
      <c r="A710" s="60">
        <v>709</v>
      </c>
      <c r="B710" s="60">
        <v>220968122</v>
      </c>
      <c r="C710" s="60" t="s">
        <v>1013</v>
      </c>
      <c r="D710" s="60">
        <v>8.76</v>
      </c>
      <c r="E710" s="60">
        <v>8277761190</v>
      </c>
      <c r="F710" s="60" t="s">
        <v>1014</v>
      </c>
      <c r="G710" s="60" t="s">
        <v>384</v>
      </c>
      <c r="H710" s="60" t="s">
        <v>2156</v>
      </c>
      <c r="I710" s="60" t="s">
        <v>19</v>
      </c>
      <c r="J710" s="60">
        <v>651340</v>
      </c>
    </row>
    <row r="711" spans="1:10" ht="30" customHeight="1" x14ac:dyDescent="0.25">
      <c r="A711" s="60">
        <v>710</v>
      </c>
      <c r="B711" s="60">
        <v>220968424</v>
      </c>
      <c r="C711" s="60" t="s">
        <v>1723</v>
      </c>
      <c r="D711" s="60">
        <v>8.6199999999999992</v>
      </c>
      <c r="E711" s="60">
        <v>9799682963</v>
      </c>
      <c r="F711" s="60" t="s">
        <v>1724</v>
      </c>
      <c r="G711" s="60" t="s">
        <v>384</v>
      </c>
      <c r="H711" s="60" t="s">
        <v>2156</v>
      </c>
      <c r="I711" s="60" t="s">
        <v>19</v>
      </c>
      <c r="J711" s="60">
        <v>651340</v>
      </c>
    </row>
    <row r="712" spans="1:10" ht="30" customHeight="1" x14ac:dyDescent="0.25">
      <c r="A712" s="60">
        <v>711</v>
      </c>
      <c r="B712" s="60">
        <v>220968318</v>
      </c>
      <c r="C712" s="60" t="s">
        <v>2055</v>
      </c>
      <c r="D712" s="60">
        <v>8.56</v>
      </c>
      <c r="E712" s="60">
        <v>8766492275</v>
      </c>
      <c r="F712" s="60" t="s">
        <v>2056</v>
      </c>
      <c r="G712" s="60" t="s">
        <v>384</v>
      </c>
      <c r="H712" s="60" t="s">
        <v>2156</v>
      </c>
      <c r="I712" s="60" t="s">
        <v>19</v>
      </c>
      <c r="J712" s="60">
        <v>651340</v>
      </c>
    </row>
    <row r="713" spans="1:10" ht="30" customHeight="1" x14ac:dyDescent="0.25">
      <c r="A713" s="60">
        <v>712</v>
      </c>
      <c r="B713" s="60">
        <v>220968344</v>
      </c>
      <c r="C713" s="60" t="s">
        <v>1094</v>
      </c>
      <c r="D713" s="60">
        <v>8.3000000000000007</v>
      </c>
      <c r="E713" s="60">
        <v>9845525030</v>
      </c>
      <c r="F713" s="60" t="s">
        <v>1095</v>
      </c>
      <c r="G713" s="60" t="s">
        <v>384</v>
      </c>
      <c r="H713" s="60" t="s">
        <v>2156</v>
      </c>
      <c r="I713" s="60" t="s">
        <v>19</v>
      </c>
      <c r="J713" s="60">
        <v>651340</v>
      </c>
    </row>
    <row r="714" spans="1:10" ht="30" customHeight="1" x14ac:dyDescent="0.25">
      <c r="A714" s="60">
        <v>713</v>
      </c>
      <c r="B714" s="60">
        <v>220968328</v>
      </c>
      <c r="C714" s="60" t="s">
        <v>1082</v>
      </c>
      <c r="D714" s="60">
        <v>7.86</v>
      </c>
      <c r="E714" s="60">
        <v>6364573444</v>
      </c>
      <c r="F714" s="60" t="s">
        <v>1083</v>
      </c>
      <c r="G714" s="60" t="s">
        <v>384</v>
      </c>
      <c r="H714" s="60" t="s">
        <v>2156</v>
      </c>
      <c r="I714" s="60" t="s">
        <v>19</v>
      </c>
      <c r="J714" s="60">
        <v>651340</v>
      </c>
    </row>
    <row r="715" spans="1:10" ht="30" customHeight="1" x14ac:dyDescent="0.25">
      <c r="A715" s="60">
        <v>714</v>
      </c>
      <c r="B715" s="60">
        <v>220968300</v>
      </c>
      <c r="C715" s="60" t="s">
        <v>1790</v>
      </c>
      <c r="D715" s="60">
        <v>7.31</v>
      </c>
      <c r="E715" s="60">
        <v>7995650603</v>
      </c>
      <c r="F715" s="60" t="s">
        <v>1791</v>
      </c>
      <c r="G715" s="60" t="s">
        <v>384</v>
      </c>
      <c r="H715" s="60" t="s">
        <v>2156</v>
      </c>
      <c r="I715" s="60" t="s">
        <v>19</v>
      </c>
      <c r="J715" s="60">
        <v>651340</v>
      </c>
    </row>
    <row r="716" spans="1:10" ht="30" customHeight="1" x14ac:dyDescent="0.25">
      <c r="A716" s="60">
        <v>715</v>
      </c>
      <c r="B716" s="60">
        <v>210968029</v>
      </c>
      <c r="C716" s="60" t="s">
        <v>2106</v>
      </c>
      <c r="D716" s="60">
        <v>6.26</v>
      </c>
      <c r="E716" s="60">
        <v>9918280546</v>
      </c>
      <c r="F716" s="60" t="s">
        <v>2107</v>
      </c>
      <c r="G716" s="60" t="s">
        <v>384</v>
      </c>
      <c r="H716" s="60" t="s">
        <v>2156</v>
      </c>
      <c r="I716" s="60" t="s">
        <v>19</v>
      </c>
      <c r="J716" s="60">
        <v>651340</v>
      </c>
    </row>
    <row r="717" spans="1:10" ht="30" customHeight="1" x14ac:dyDescent="0.25">
      <c r="A717" s="60">
        <v>716</v>
      </c>
      <c r="B717" s="60">
        <v>210911168</v>
      </c>
      <c r="C717" s="60" t="s">
        <v>693</v>
      </c>
      <c r="D717" s="60">
        <v>8.7799999999999994</v>
      </c>
      <c r="E717" s="60">
        <v>9337246522</v>
      </c>
      <c r="F717" s="60" t="s">
        <v>694</v>
      </c>
      <c r="G717" s="60" t="s">
        <v>274</v>
      </c>
      <c r="H717" s="60" t="s">
        <v>2156</v>
      </c>
      <c r="I717" s="60" t="s">
        <v>19</v>
      </c>
      <c r="J717" s="60">
        <v>651340</v>
      </c>
    </row>
    <row r="718" spans="1:10" ht="30" customHeight="1" x14ac:dyDescent="0.25">
      <c r="A718" s="60">
        <v>717</v>
      </c>
      <c r="B718" s="60">
        <v>220911552</v>
      </c>
      <c r="C718" s="60" t="s">
        <v>1156</v>
      </c>
      <c r="D718" s="60">
        <v>7.68</v>
      </c>
      <c r="E718" s="60">
        <v>8709899734</v>
      </c>
      <c r="F718" s="60" t="s">
        <v>1157</v>
      </c>
      <c r="G718" s="60" t="s">
        <v>274</v>
      </c>
      <c r="H718" s="60" t="s">
        <v>2156</v>
      </c>
      <c r="I718" s="60" t="s">
        <v>19</v>
      </c>
      <c r="J718" s="60">
        <v>651340</v>
      </c>
    </row>
    <row r="719" spans="1:10" ht="30" customHeight="1" x14ac:dyDescent="0.25">
      <c r="A719" s="60">
        <v>718</v>
      </c>
      <c r="B719" s="60">
        <v>220911306</v>
      </c>
      <c r="C719" s="60" t="s">
        <v>1913</v>
      </c>
      <c r="D719" s="60">
        <v>6.88</v>
      </c>
      <c r="E719" s="60">
        <v>9108272014</v>
      </c>
      <c r="F719" s="60" t="s">
        <v>1914</v>
      </c>
      <c r="G719" s="60" t="s">
        <v>274</v>
      </c>
      <c r="H719" s="60" t="s">
        <v>2156</v>
      </c>
      <c r="I719" s="60" t="s">
        <v>19</v>
      </c>
      <c r="J719" s="60">
        <v>651340</v>
      </c>
    </row>
    <row r="720" spans="1:10" ht="30" customHeight="1" x14ac:dyDescent="0.25">
      <c r="A720" s="60">
        <v>719</v>
      </c>
      <c r="B720" s="60">
        <v>220911316</v>
      </c>
      <c r="C720" s="60" t="s">
        <v>2175</v>
      </c>
      <c r="D720" s="60">
        <v>6.87</v>
      </c>
      <c r="E720" s="60">
        <v>8009365304</v>
      </c>
      <c r="F720" s="60" t="s">
        <v>2176</v>
      </c>
      <c r="G720" s="60" t="s">
        <v>274</v>
      </c>
      <c r="H720" s="60" t="s">
        <v>2156</v>
      </c>
      <c r="I720" s="60" t="s">
        <v>19</v>
      </c>
      <c r="J720" s="60">
        <v>651340</v>
      </c>
    </row>
    <row r="721" spans="1:10" ht="30" customHeight="1" x14ac:dyDescent="0.25">
      <c r="A721" s="60">
        <v>720</v>
      </c>
      <c r="B721" s="60">
        <v>220909086</v>
      </c>
      <c r="C721" s="60" t="s">
        <v>2177</v>
      </c>
      <c r="D721" s="60">
        <v>7.44</v>
      </c>
      <c r="E721" s="60">
        <v>9721730257</v>
      </c>
      <c r="F721" s="60" t="s">
        <v>2178</v>
      </c>
      <c r="G721" s="60" t="s">
        <v>312</v>
      </c>
      <c r="H721" s="60" t="s">
        <v>2156</v>
      </c>
      <c r="I721" s="60" t="s">
        <v>19</v>
      </c>
      <c r="J721" s="60">
        <v>651340</v>
      </c>
    </row>
    <row r="722" spans="1:10" ht="30" customHeight="1" x14ac:dyDescent="0.25">
      <c r="A722" s="60">
        <v>721</v>
      </c>
      <c r="B722" s="60">
        <v>220929112</v>
      </c>
      <c r="C722" s="60" t="s">
        <v>2130</v>
      </c>
      <c r="D722" s="60">
        <v>7.26</v>
      </c>
      <c r="E722" s="60">
        <v>7909292220</v>
      </c>
      <c r="F722" s="60" t="s">
        <v>2131</v>
      </c>
      <c r="G722" s="60" t="s">
        <v>317</v>
      </c>
      <c r="H722" s="60" t="s">
        <v>2156</v>
      </c>
      <c r="I722" s="60" t="s">
        <v>19</v>
      </c>
      <c r="J722" s="60">
        <v>651340</v>
      </c>
    </row>
    <row r="723" spans="1:10" ht="30" customHeight="1" x14ac:dyDescent="0.25">
      <c r="A723" s="60">
        <v>722</v>
      </c>
      <c r="B723" s="60">
        <v>220953680</v>
      </c>
      <c r="C723" s="60" t="s">
        <v>1835</v>
      </c>
      <c r="D723" s="60">
        <v>8.3000000000000007</v>
      </c>
      <c r="E723" s="60">
        <v>9945160290</v>
      </c>
      <c r="F723" s="60" t="s">
        <v>1836</v>
      </c>
      <c r="G723" s="60" t="s">
        <v>261</v>
      </c>
      <c r="H723" s="60" t="s">
        <v>2156</v>
      </c>
      <c r="I723" s="60" t="s">
        <v>19</v>
      </c>
      <c r="J723" s="60">
        <v>651340</v>
      </c>
    </row>
    <row r="724" spans="1:10" ht="30" customHeight="1" x14ac:dyDescent="0.25">
      <c r="A724" s="60">
        <v>723</v>
      </c>
      <c r="B724" s="60">
        <v>220953676</v>
      </c>
      <c r="C724" s="60" t="s">
        <v>2179</v>
      </c>
      <c r="D724" s="60">
        <v>8.0500000000000007</v>
      </c>
      <c r="E724" s="60">
        <v>8197190808</v>
      </c>
      <c r="F724" s="60" t="s">
        <v>2180</v>
      </c>
      <c r="G724" s="60" t="s">
        <v>261</v>
      </c>
      <c r="H724" s="60" t="s">
        <v>2156</v>
      </c>
      <c r="I724" s="60" t="s">
        <v>19</v>
      </c>
      <c r="J724" s="60">
        <v>651340</v>
      </c>
    </row>
    <row r="725" spans="1:10" ht="30" customHeight="1" x14ac:dyDescent="0.25">
      <c r="A725" s="60">
        <v>724</v>
      </c>
      <c r="B725" s="60">
        <v>220953328</v>
      </c>
      <c r="C725" s="60" t="s">
        <v>1851</v>
      </c>
      <c r="D725" s="60">
        <v>7.26</v>
      </c>
      <c r="E725" s="60">
        <v>7227976242</v>
      </c>
      <c r="F725" s="60" t="s">
        <v>1852</v>
      </c>
      <c r="G725" s="60" t="s">
        <v>261</v>
      </c>
      <c r="H725" s="60" t="s">
        <v>2156</v>
      </c>
      <c r="I725" s="60" t="s">
        <v>19</v>
      </c>
      <c r="J725" s="60">
        <v>651340</v>
      </c>
    </row>
    <row r="726" spans="1:10" ht="30" customHeight="1" x14ac:dyDescent="0.25">
      <c r="A726" s="60">
        <v>725</v>
      </c>
      <c r="B726" s="60">
        <v>220905140</v>
      </c>
      <c r="C726" s="60" t="s">
        <v>714</v>
      </c>
      <c r="D726" s="60">
        <v>7.22</v>
      </c>
      <c r="E726" s="60">
        <v>7352314442</v>
      </c>
      <c r="F726" s="60" t="s">
        <v>715</v>
      </c>
      <c r="G726" s="60" t="s">
        <v>256</v>
      </c>
      <c r="H726" s="60" t="s">
        <v>2156</v>
      </c>
      <c r="I726" s="60" t="s">
        <v>19</v>
      </c>
      <c r="J726" s="60">
        <v>651340</v>
      </c>
    </row>
    <row r="727" spans="1:10" ht="30" customHeight="1" x14ac:dyDescent="0.25">
      <c r="A727" s="60">
        <v>726</v>
      </c>
      <c r="B727" s="60">
        <v>220905092</v>
      </c>
      <c r="C727" s="60" t="s">
        <v>2181</v>
      </c>
      <c r="D727" s="60">
        <v>6.21</v>
      </c>
      <c r="E727" s="60">
        <v>8527911853</v>
      </c>
      <c r="F727" s="60" t="s">
        <v>2182</v>
      </c>
      <c r="G727" s="60" t="s">
        <v>256</v>
      </c>
      <c r="H727" s="60" t="s">
        <v>2156</v>
      </c>
      <c r="I727" s="60" t="s">
        <v>19</v>
      </c>
      <c r="J727" s="60">
        <v>651340</v>
      </c>
    </row>
    <row r="728" spans="1:10" ht="30" customHeight="1" x14ac:dyDescent="0.25">
      <c r="A728" s="60">
        <v>727</v>
      </c>
      <c r="B728" s="60">
        <v>220911288</v>
      </c>
      <c r="C728" s="60" t="s">
        <v>1748</v>
      </c>
      <c r="D728" s="60">
        <v>8.4499999999999993</v>
      </c>
      <c r="E728" s="60">
        <v>7798055997</v>
      </c>
      <c r="F728" s="60" t="s">
        <v>1749</v>
      </c>
      <c r="G728" s="60" t="s">
        <v>274</v>
      </c>
      <c r="H728" s="60" t="s">
        <v>2156</v>
      </c>
      <c r="I728" s="60" t="s">
        <v>19</v>
      </c>
      <c r="J728" s="60">
        <v>651340</v>
      </c>
    </row>
    <row r="729" spans="1:10" ht="30" customHeight="1" x14ac:dyDescent="0.25">
      <c r="A729" s="60">
        <v>728</v>
      </c>
      <c r="B729" s="60">
        <v>220911404</v>
      </c>
      <c r="C729" s="60" t="s">
        <v>2183</v>
      </c>
      <c r="D729" s="60">
        <v>6.48</v>
      </c>
      <c r="E729" s="60">
        <v>9949104600</v>
      </c>
      <c r="F729" s="60" t="s">
        <v>2184</v>
      </c>
      <c r="G729" s="60" t="s">
        <v>274</v>
      </c>
      <c r="H729" s="60" t="s">
        <v>2156</v>
      </c>
      <c r="I729" s="60" t="s">
        <v>19</v>
      </c>
      <c r="J729" s="60">
        <v>651340</v>
      </c>
    </row>
    <row r="730" spans="1:10" ht="30" customHeight="1" x14ac:dyDescent="0.25">
      <c r="A730" s="60">
        <v>729</v>
      </c>
      <c r="B730" s="60">
        <v>220933008</v>
      </c>
      <c r="C730" s="60" t="s">
        <v>1859</v>
      </c>
      <c r="D730" s="60">
        <v>8.5299999999999994</v>
      </c>
      <c r="E730" s="60">
        <v>9108574555</v>
      </c>
      <c r="F730" s="60" t="s">
        <v>1860</v>
      </c>
      <c r="G730" s="60" t="s">
        <v>330</v>
      </c>
      <c r="H730" s="60" t="s">
        <v>2185</v>
      </c>
      <c r="I730" s="60" t="s">
        <v>19</v>
      </c>
      <c r="J730" s="60">
        <v>444900</v>
      </c>
    </row>
    <row r="731" spans="1:10" ht="30" customHeight="1" x14ac:dyDescent="0.25">
      <c r="A731" s="60">
        <v>730</v>
      </c>
      <c r="B731" s="60">
        <v>220933098</v>
      </c>
      <c r="C731" s="60" t="s">
        <v>2136</v>
      </c>
      <c r="D731" s="60">
        <v>7.11</v>
      </c>
      <c r="E731" s="60">
        <v>8401207703</v>
      </c>
      <c r="F731" s="60" t="s">
        <v>2137</v>
      </c>
      <c r="G731" s="60" t="s">
        <v>330</v>
      </c>
      <c r="H731" s="60" t="s">
        <v>2185</v>
      </c>
      <c r="I731" s="60" t="s">
        <v>19</v>
      </c>
      <c r="J731" s="60">
        <v>444900</v>
      </c>
    </row>
    <row r="732" spans="1:10" ht="30" customHeight="1" x14ac:dyDescent="0.25">
      <c r="A732" s="60">
        <v>731</v>
      </c>
      <c r="B732" s="60">
        <v>220953266</v>
      </c>
      <c r="C732" s="60" t="s">
        <v>2186</v>
      </c>
      <c r="D732" s="60">
        <v>7.53</v>
      </c>
      <c r="E732" s="60">
        <v>9945535707</v>
      </c>
      <c r="F732" s="60" t="s">
        <v>2187</v>
      </c>
      <c r="G732" s="60" t="s">
        <v>261</v>
      </c>
      <c r="H732" s="60" t="s">
        <v>2185</v>
      </c>
      <c r="I732" s="60" t="s">
        <v>19</v>
      </c>
      <c r="J732" s="60">
        <v>444900</v>
      </c>
    </row>
    <row r="733" spans="1:10" ht="30" customHeight="1" x14ac:dyDescent="0.25">
      <c r="A733" s="60">
        <v>732</v>
      </c>
      <c r="B733" s="60">
        <v>220953017</v>
      </c>
      <c r="C733" s="60" t="s">
        <v>2188</v>
      </c>
      <c r="D733" s="60">
        <v>7.31</v>
      </c>
      <c r="E733" s="60">
        <v>9606634491</v>
      </c>
      <c r="F733" s="60" t="s">
        <v>2189</v>
      </c>
      <c r="G733" s="60" t="s">
        <v>261</v>
      </c>
      <c r="H733" s="60" t="s">
        <v>2185</v>
      </c>
      <c r="I733" s="60" t="s">
        <v>19</v>
      </c>
      <c r="J733" s="60">
        <v>444900</v>
      </c>
    </row>
    <row r="734" spans="1:10" ht="30" customHeight="1" x14ac:dyDescent="0.25">
      <c r="A734" s="60">
        <v>733</v>
      </c>
      <c r="B734" s="60">
        <v>220953478</v>
      </c>
      <c r="C734" s="60" t="s">
        <v>1901</v>
      </c>
      <c r="D734" s="60">
        <v>6.98</v>
      </c>
      <c r="E734" s="60">
        <v>9310562652</v>
      </c>
      <c r="F734" s="60" t="s">
        <v>1902</v>
      </c>
      <c r="G734" s="60" t="s">
        <v>261</v>
      </c>
      <c r="H734" s="60" t="s">
        <v>2185</v>
      </c>
      <c r="I734" s="60" t="s">
        <v>19</v>
      </c>
      <c r="J734" s="60">
        <v>444900</v>
      </c>
    </row>
    <row r="735" spans="1:10" ht="30" customHeight="1" x14ac:dyDescent="0.25">
      <c r="A735" s="60">
        <v>734</v>
      </c>
      <c r="B735" s="60">
        <v>220953020</v>
      </c>
      <c r="C735" s="60" t="s">
        <v>1367</v>
      </c>
      <c r="D735" s="60">
        <v>6.85</v>
      </c>
      <c r="E735" s="60">
        <v>8360773826</v>
      </c>
      <c r="F735" s="60" t="s">
        <v>1368</v>
      </c>
      <c r="G735" s="60" t="s">
        <v>261</v>
      </c>
      <c r="H735" s="60" t="s">
        <v>2185</v>
      </c>
      <c r="I735" s="60" t="s">
        <v>19</v>
      </c>
      <c r="J735" s="60">
        <v>444900</v>
      </c>
    </row>
    <row r="736" spans="1:10" ht="30" customHeight="1" x14ac:dyDescent="0.25">
      <c r="A736" s="60">
        <v>735</v>
      </c>
      <c r="B736" s="60">
        <v>220953564</v>
      </c>
      <c r="C736" s="60" t="s">
        <v>2072</v>
      </c>
      <c r="D736" s="60">
        <v>6.55</v>
      </c>
      <c r="E736" s="60">
        <v>8788719686</v>
      </c>
      <c r="F736" s="60" t="s">
        <v>2073</v>
      </c>
      <c r="G736" s="60" t="s">
        <v>261</v>
      </c>
      <c r="H736" s="60" t="s">
        <v>2185</v>
      </c>
      <c r="I736" s="60" t="s">
        <v>19</v>
      </c>
      <c r="J736" s="60">
        <v>444900</v>
      </c>
    </row>
    <row r="737" spans="1:10" ht="30" customHeight="1" x14ac:dyDescent="0.25">
      <c r="A737" s="60">
        <v>736</v>
      </c>
      <c r="B737" s="60">
        <v>220905128</v>
      </c>
      <c r="C737" s="60" t="s">
        <v>2076</v>
      </c>
      <c r="D737" s="60">
        <v>8.0299999999999994</v>
      </c>
      <c r="E737" s="60">
        <v>8822872261</v>
      </c>
      <c r="F737" s="60" t="s">
        <v>2077</v>
      </c>
      <c r="G737" s="60" t="s">
        <v>256</v>
      </c>
      <c r="H737" s="60" t="s">
        <v>2185</v>
      </c>
      <c r="I737" s="60" t="s">
        <v>19</v>
      </c>
      <c r="J737" s="60">
        <v>444900</v>
      </c>
    </row>
    <row r="738" spans="1:10" ht="30" customHeight="1" x14ac:dyDescent="0.25">
      <c r="A738" s="60">
        <v>737</v>
      </c>
      <c r="B738" s="60">
        <v>220905009</v>
      </c>
      <c r="C738" s="60" t="s">
        <v>580</v>
      </c>
      <c r="D738" s="60">
        <v>7.75</v>
      </c>
      <c r="E738" s="60">
        <v>8879624196</v>
      </c>
      <c r="F738" s="60" t="s">
        <v>581</v>
      </c>
      <c r="G738" s="60" t="s">
        <v>256</v>
      </c>
      <c r="H738" s="60" t="s">
        <v>2185</v>
      </c>
      <c r="I738" s="60" t="s">
        <v>19</v>
      </c>
      <c r="J738" s="60">
        <v>444900</v>
      </c>
    </row>
    <row r="739" spans="1:10" ht="30" customHeight="1" x14ac:dyDescent="0.25">
      <c r="A739" s="60">
        <v>738</v>
      </c>
      <c r="B739" s="60">
        <v>220905026</v>
      </c>
      <c r="C739" s="60" t="s">
        <v>2002</v>
      </c>
      <c r="D739" s="60">
        <v>7.25</v>
      </c>
      <c r="E739" s="60">
        <v>9852666669</v>
      </c>
      <c r="F739" s="60" t="s">
        <v>2003</v>
      </c>
      <c r="G739" s="60" t="s">
        <v>256</v>
      </c>
      <c r="H739" s="60" t="s">
        <v>2185</v>
      </c>
      <c r="I739" s="60" t="s">
        <v>19</v>
      </c>
      <c r="J739" s="60">
        <v>444900</v>
      </c>
    </row>
    <row r="740" spans="1:10" ht="30" customHeight="1" x14ac:dyDescent="0.25">
      <c r="A740" s="60">
        <v>739</v>
      </c>
      <c r="B740" s="60">
        <v>220905186</v>
      </c>
      <c r="C740" s="60" t="s">
        <v>2190</v>
      </c>
      <c r="D740" s="60">
        <v>6.69</v>
      </c>
      <c r="E740" s="60">
        <v>8700423271</v>
      </c>
      <c r="F740" s="60" t="s">
        <v>2191</v>
      </c>
      <c r="G740" s="60" t="s">
        <v>256</v>
      </c>
      <c r="H740" s="60" t="s">
        <v>2185</v>
      </c>
      <c r="I740" s="60" t="s">
        <v>19</v>
      </c>
      <c r="J740" s="60">
        <v>444900</v>
      </c>
    </row>
    <row r="741" spans="1:10" ht="30" customHeight="1" x14ac:dyDescent="0.25">
      <c r="A741" s="60">
        <v>740</v>
      </c>
      <c r="B741" s="60">
        <v>220905235</v>
      </c>
      <c r="C741" s="60" t="s">
        <v>2192</v>
      </c>
      <c r="D741" s="60">
        <v>6.5</v>
      </c>
      <c r="E741" s="60">
        <v>9952873933</v>
      </c>
      <c r="F741" s="60" t="s">
        <v>2193</v>
      </c>
      <c r="G741" s="60" t="s">
        <v>256</v>
      </c>
      <c r="H741" s="60" t="s">
        <v>2185</v>
      </c>
      <c r="I741" s="60" t="s">
        <v>19</v>
      </c>
      <c r="J741" s="60">
        <v>444900</v>
      </c>
    </row>
    <row r="742" spans="1:10" ht="30" customHeight="1" x14ac:dyDescent="0.25">
      <c r="A742" s="60">
        <v>741</v>
      </c>
      <c r="B742" s="60">
        <v>220905146</v>
      </c>
      <c r="C742" s="60" t="s">
        <v>1381</v>
      </c>
      <c r="D742" s="60">
        <v>6.28</v>
      </c>
      <c r="E742" s="60">
        <v>8799782189</v>
      </c>
      <c r="F742" s="60" t="s">
        <v>1382</v>
      </c>
      <c r="G742" s="60" t="s">
        <v>256</v>
      </c>
      <c r="H742" s="60" t="s">
        <v>2185</v>
      </c>
      <c r="I742" s="60" t="s">
        <v>19</v>
      </c>
      <c r="J742" s="60">
        <v>444900</v>
      </c>
    </row>
    <row r="743" spans="1:10" ht="30" customHeight="1" x14ac:dyDescent="0.25">
      <c r="A743" s="60">
        <v>742</v>
      </c>
      <c r="B743" s="60">
        <v>220962012</v>
      </c>
      <c r="C743" s="60" t="s">
        <v>2084</v>
      </c>
      <c r="D743" s="60">
        <v>7.48</v>
      </c>
      <c r="E743" s="60">
        <v>8277482773</v>
      </c>
      <c r="F743" s="60" t="s">
        <v>2085</v>
      </c>
      <c r="G743" s="60" t="s">
        <v>253</v>
      </c>
      <c r="H743" s="60" t="s">
        <v>2185</v>
      </c>
      <c r="I743" s="60" t="s">
        <v>19</v>
      </c>
      <c r="J743" s="60">
        <v>444900</v>
      </c>
    </row>
    <row r="744" spans="1:10" ht="30" customHeight="1" x14ac:dyDescent="0.25">
      <c r="A744" s="60">
        <v>743</v>
      </c>
      <c r="B744" s="60">
        <v>220962270</v>
      </c>
      <c r="C744" s="60" t="s">
        <v>2194</v>
      </c>
      <c r="D744" s="60">
        <v>7.31</v>
      </c>
      <c r="E744" s="60">
        <v>6352915463</v>
      </c>
      <c r="F744" s="60" t="s">
        <v>2195</v>
      </c>
      <c r="G744" s="60" t="s">
        <v>253</v>
      </c>
      <c r="H744" s="60" t="s">
        <v>2185</v>
      </c>
      <c r="I744" s="60" t="s">
        <v>19</v>
      </c>
      <c r="J744" s="60">
        <v>444900</v>
      </c>
    </row>
    <row r="745" spans="1:10" ht="30" customHeight="1" x14ac:dyDescent="0.25">
      <c r="A745" s="60">
        <v>744</v>
      </c>
      <c r="B745" s="60">
        <v>220962302</v>
      </c>
      <c r="C745" s="60" t="s">
        <v>2196</v>
      </c>
      <c r="D745" s="60">
        <v>6.49</v>
      </c>
      <c r="E745" s="60">
        <v>8630212402</v>
      </c>
      <c r="F745" s="60" t="s">
        <v>2197</v>
      </c>
      <c r="G745" s="60" t="s">
        <v>253</v>
      </c>
      <c r="H745" s="60" t="s">
        <v>2185</v>
      </c>
      <c r="I745" s="60" t="s">
        <v>19</v>
      </c>
      <c r="J745" s="60">
        <v>444900</v>
      </c>
    </row>
    <row r="746" spans="1:10" ht="30" customHeight="1" x14ac:dyDescent="0.25">
      <c r="A746" s="60">
        <v>745</v>
      </c>
      <c r="B746" s="60">
        <v>220962075</v>
      </c>
      <c r="C746" s="60" t="s">
        <v>2198</v>
      </c>
      <c r="D746" s="60">
        <v>6.29</v>
      </c>
      <c r="E746" s="60">
        <v>7411744462</v>
      </c>
      <c r="F746" s="60" t="s">
        <v>2199</v>
      </c>
      <c r="G746" s="60" t="s">
        <v>253</v>
      </c>
      <c r="H746" s="60" t="s">
        <v>2185</v>
      </c>
      <c r="I746" s="60" t="s">
        <v>19</v>
      </c>
      <c r="J746" s="60">
        <v>444900</v>
      </c>
    </row>
    <row r="747" spans="1:10" ht="30" customHeight="1" x14ac:dyDescent="0.25">
      <c r="A747" s="60">
        <v>746</v>
      </c>
      <c r="B747" s="60">
        <v>220961134</v>
      </c>
      <c r="C747" s="60" t="s">
        <v>2057</v>
      </c>
      <c r="D747" s="60">
        <v>7.69</v>
      </c>
      <c r="E747" s="60">
        <v>9449423726</v>
      </c>
      <c r="F747" s="60" t="s">
        <v>2058</v>
      </c>
      <c r="G747" s="60" t="s">
        <v>541</v>
      </c>
      <c r="H747" s="60" t="s">
        <v>2185</v>
      </c>
      <c r="I747" s="60" t="s">
        <v>19</v>
      </c>
      <c r="J747" s="60">
        <v>444900</v>
      </c>
    </row>
    <row r="748" spans="1:10" ht="30" customHeight="1" x14ac:dyDescent="0.25">
      <c r="A748" s="60">
        <v>747</v>
      </c>
      <c r="B748" s="60">
        <v>220961082</v>
      </c>
      <c r="C748" s="60" t="s">
        <v>2200</v>
      </c>
      <c r="D748" s="60">
        <v>7.53</v>
      </c>
      <c r="E748" s="60">
        <v>7738646456</v>
      </c>
      <c r="F748" s="60" t="s">
        <v>2201</v>
      </c>
      <c r="G748" s="60" t="s">
        <v>541</v>
      </c>
      <c r="H748" s="60" t="s">
        <v>2185</v>
      </c>
      <c r="I748" s="60" t="s">
        <v>19</v>
      </c>
      <c r="J748" s="60">
        <v>444900</v>
      </c>
    </row>
    <row r="749" spans="1:10" ht="30" customHeight="1" x14ac:dyDescent="0.25">
      <c r="A749" s="60">
        <v>748</v>
      </c>
      <c r="B749" s="60">
        <v>220968172</v>
      </c>
      <c r="C749" s="60" t="s">
        <v>610</v>
      </c>
      <c r="D749" s="60">
        <v>7.59</v>
      </c>
      <c r="E749" s="60">
        <v>8320363679</v>
      </c>
      <c r="F749" s="60" t="s">
        <v>611</v>
      </c>
      <c r="G749" s="60" t="s">
        <v>384</v>
      </c>
      <c r="H749" s="60" t="s">
        <v>2185</v>
      </c>
      <c r="I749" s="60" t="s">
        <v>19</v>
      </c>
      <c r="J749" s="60">
        <v>444900</v>
      </c>
    </row>
    <row r="750" spans="1:10" ht="30" customHeight="1" x14ac:dyDescent="0.25">
      <c r="A750" s="60">
        <v>749</v>
      </c>
      <c r="B750" s="60">
        <v>220968084</v>
      </c>
      <c r="C750" s="60" t="s">
        <v>2098</v>
      </c>
      <c r="D750" s="60">
        <v>7.54</v>
      </c>
      <c r="E750" s="60">
        <v>8919251465</v>
      </c>
      <c r="F750" s="60" t="s">
        <v>2099</v>
      </c>
      <c r="G750" s="60" t="s">
        <v>384</v>
      </c>
      <c r="H750" s="60" t="s">
        <v>2185</v>
      </c>
      <c r="I750" s="60" t="s">
        <v>19</v>
      </c>
      <c r="J750" s="60">
        <v>444900</v>
      </c>
    </row>
    <row r="751" spans="1:10" ht="30" customHeight="1" x14ac:dyDescent="0.25">
      <c r="A751" s="60">
        <v>750</v>
      </c>
      <c r="B751" s="60">
        <v>220968354</v>
      </c>
      <c r="C751" s="60" t="s">
        <v>1839</v>
      </c>
      <c r="D751" s="60">
        <v>7.47</v>
      </c>
      <c r="E751" s="60">
        <v>7980562223</v>
      </c>
      <c r="F751" s="60" t="s">
        <v>1840</v>
      </c>
      <c r="G751" s="60" t="s">
        <v>384</v>
      </c>
      <c r="H751" s="60" t="s">
        <v>2185</v>
      </c>
      <c r="I751" s="60" t="s">
        <v>19</v>
      </c>
      <c r="J751" s="60">
        <v>444900</v>
      </c>
    </row>
    <row r="752" spans="1:10" ht="30" customHeight="1" x14ac:dyDescent="0.25">
      <c r="A752" s="60">
        <v>751</v>
      </c>
      <c r="B752" s="60">
        <v>220968408</v>
      </c>
      <c r="C752" s="60" t="s">
        <v>1250</v>
      </c>
      <c r="D752" s="60">
        <v>6.93</v>
      </c>
      <c r="E752" s="60">
        <v>9407795129</v>
      </c>
      <c r="F752" s="60" t="s">
        <v>1251</v>
      </c>
      <c r="G752" s="60" t="s">
        <v>384</v>
      </c>
      <c r="H752" s="60" t="s">
        <v>2185</v>
      </c>
      <c r="I752" s="60" t="s">
        <v>19</v>
      </c>
      <c r="J752" s="60">
        <v>444900</v>
      </c>
    </row>
    <row r="753" spans="1:10" ht="30" customHeight="1" x14ac:dyDescent="0.25">
      <c r="A753" s="60">
        <v>752</v>
      </c>
      <c r="B753" s="60">
        <v>220968366</v>
      </c>
      <c r="C753" s="60" t="s">
        <v>2104</v>
      </c>
      <c r="D753" s="60">
        <v>6.4</v>
      </c>
      <c r="E753" s="60">
        <v>8217826798</v>
      </c>
      <c r="F753" s="60" t="s">
        <v>2105</v>
      </c>
      <c r="G753" s="60" t="s">
        <v>384</v>
      </c>
      <c r="H753" s="60" t="s">
        <v>2185</v>
      </c>
      <c r="I753" s="60" t="s">
        <v>19</v>
      </c>
      <c r="J753" s="60">
        <v>444900</v>
      </c>
    </row>
    <row r="754" spans="1:10" ht="30" customHeight="1" x14ac:dyDescent="0.25">
      <c r="A754" s="60">
        <v>753</v>
      </c>
      <c r="B754" s="60">
        <v>220968206</v>
      </c>
      <c r="C754" s="60" t="s">
        <v>1951</v>
      </c>
      <c r="D754" s="60">
        <v>6.26</v>
      </c>
      <c r="E754" s="60">
        <v>9150404857</v>
      </c>
      <c r="F754" s="60" t="s">
        <v>1952</v>
      </c>
      <c r="G754" s="60" t="s">
        <v>384</v>
      </c>
      <c r="H754" s="60" t="s">
        <v>2185</v>
      </c>
      <c r="I754" s="60" t="s">
        <v>19</v>
      </c>
      <c r="J754" s="60">
        <v>444900</v>
      </c>
    </row>
    <row r="755" spans="1:10" ht="30" customHeight="1" x14ac:dyDescent="0.25">
      <c r="A755" s="60">
        <v>754</v>
      </c>
      <c r="B755" s="60">
        <v>210906136</v>
      </c>
      <c r="C755" s="60" t="s">
        <v>1256</v>
      </c>
      <c r="D755" s="60">
        <v>6.53</v>
      </c>
      <c r="E755" s="60">
        <v>6304345589</v>
      </c>
      <c r="F755" s="60" t="s">
        <v>1257</v>
      </c>
      <c r="G755" s="60" t="s">
        <v>478</v>
      </c>
      <c r="H755" s="60" t="s">
        <v>2185</v>
      </c>
      <c r="I755" s="60" t="s">
        <v>19</v>
      </c>
      <c r="J755" s="60">
        <v>444900</v>
      </c>
    </row>
    <row r="756" spans="1:10" ht="30" customHeight="1" x14ac:dyDescent="0.25">
      <c r="A756" s="60">
        <v>755</v>
      </c>
      <c r="B756" s="60">
        <v>220907710</v>
      </c>
      <c r="C756" s="60" t="s">
        <v>1196</v>
      </c>
      <c r="D756" s="60">
        <v>9.2100000000000009</v>
      </c>
      <c r="E756" s="60">
        <v>9654946990</v>
      </c>
      <c r="F756" s="60" t="s">
        <v>1197</v>
      </c>
      <c r="G756" s="60" t="s">
        <v>277</v>
      </c>
      <c r="H756" s="60" t="s">
        <v>2185</v>
      </c>
      <c r="I756" s="60" t="s">
        <v>19</v>
      </c>
      <c r="J756" s="60">
        <v>444900</v>
      </c>
    </row>
    <row r="757" spans="1:10" ht="30" customHeight="1" x14ac:dyDescent="0.25">
      <c r="A757" s="60">
        <v>756</v>
      </c>
      <c r="B757" s="60">
        <v>220907650</v>
      </c>
      <c r="C757" s="60" t="s">
        <v>2110</v>
      </c>
      <c r="D757" s="60">
        <v>7.36</v>
      </c>
      <c r="E757" s="60">
        <v>9059239514</v>
      </c>
      <c r="F757" s="60" t="s">
        <v>2111</v>
      </c>
      <c r="G757" s="60" t="s">
        <v>277</v>
      </c>
      <c r="H757" s="60" t="s">
        <v>2185</v>
      </c>
      <c r="I757" s="60" t="s">
        <v>19</v>
      </c>
      <c r="J757" s="60">
        <v>444900</v>
      </c>
    </row>
    <row r="758" spans="1:10" ht="30" customHeight="1" x14ac:dyDescent="0.25">
      <c r="A758" s="60">
        <v>757</v>
      </c>
      <c r="B758" s="60">
        <v>220907858</v>
      </c>
      <c r="C758" s="60" t="s">
        <v>2202</v>
      </c>
      <c r="D758" s="60">
        <v>7.29</v>
      </c>
      <c r="E758" s="60">
        <v>7091073537</v>
      </c>
      <c r="F758" s="60" t="s">
        <v>2203</v>
      </c>
      <c r="G758" s="60" t="s">
        <v>277</v>
      </c>
      <c r="H758" s="60" t="s">
        <v>2185</v>
      </c>
      <c r="I758" s="60" t="s">
        <v>19</v>
      </c>
      <c r="J758" s="60">
        <v>444900</v>
      </c>
    </row>
    <row r="759" spans="1:10" ht="30" customHeight="1" x14ac:dyDescent="0.25">
      <c r="A759" s="60">
        <v>758</v>
      </c>
      <c r="B759" s="60">
        <v>220907664</v>
      </c>
      <c r="C759" s="60" t="s">
        <v>2204</v>
      </c>
      <c r="D759" s="60">
        <v>7.21</v>
      </c>
      <c r="E759" s="60">
        <v>8885206163</v>
      </c>
      <c r="F759" s="60" t="s">
        <v>2205</v>
      </c>
      <c r="G759" s="60" t="s">
        <v>277</v>
      </c>
      <c r="H759" s="60" t="s">
        <v>2185</v>
      </c>
      <c r="I759" s="60" t="s">
        <v>19</v>
      </c>
      <c r="J759" s="60">
        <v>444900</v>
      </c>
    </row>
    <row r="760" spans="1:10" ht="30" customHeight="1" x14ac:dyDescent="0.25">
      <c r="A760" s="60">
        <v>759</v>
      </c>
      <c r="B760" s="60">
        <v>220907052</v>
      </c>
      <c r="C760" s="60" t="s">
        <v>1672</v>
      </c>
      <c r="D760" s="60">
        <v>7.17</v>
      </c>
      <c r="E760" s="60">
        <v>7899876804</v>
      </c>
      <c r="F760" s="60" t="s">
        <v>1673</v>
      </c>
      <c r="G760" s="60" t="s">
        <v>277</v>
      </c>
      <c r="H760" s="60" t="s">
        <v>2185</v>
      </c>
      <c r="I760" s="60" t="s">
        <v>19</v>
      </c>
      <c r="J760" s="60">
        <v>444900</v>
      </c>
    </row>
    <row r="761" spans="1:10" ht="30" customHeight="1" x14ac:dyDescent="0.25">
      <c r="A761" s="60">
        <v>760</v>
      </c>
      <c r="B761" s="60">
        <v>220907520</v>
      </c>
      <c r="C761" s="60" t="s">
        <v>1610</v>
      </c>
      <c r="D761" s="60">
        <v>7.06</v>
      </c>
      <c r="E761" s="60">
        <v>8434015912</v>
      </c>
      <c r="F761" s="60" t="s">
        <v>2206</v>
      </c>
      <c r="G761" s="60" t="s">
        <v>277</v>
      </c>
      <c r="H761" s="60" t="s">
        <v>2185</v>
      </c>
      <c r="I761" s="60" t="s">
        <v>19</v>
      </c>
      <c r="J761" s="60">
        <v>444900</v>
      </c>
    </row>
    <row r="762" spans="1:10" ht="30" customHeight="1" x14ac:dyDescent="0.25">
      <c r="A762" s="60">
        <v>761</v>
      </c>
      <c r="B762" s="60">
        <v>220932042</v>
      </c>
      <c r="C762" s="60" t="s">
        <v>2207</v>
      </c>
      <c r="D762" s="60">
        <v>6.79</v>
      </c>
      <c r="E762" s="60">
        <v>9746515432</v>
      </c>
      <c r="F762" s="60" t="s">
        <v>2208</v>
      </c>
      <c r="G762" s="60" t="s">
        <v>289</v>
      </c>
      <c r="H762" s="60" t="s">
        <v>2185</v>
      </c>
      <c r="I762" s="60" t="s">
        <v>19</v>
      </c>
      <c r="J762" s="60">
        <v>444900</v>
      </c>
    </row>
    <row r="763" spans="1:10" ht="30" customHeight="1" x14ac:dyDescent="0.25">
      <c r="A763" s="60">
        <v>762</v>
      </c>
      <c r="B763" s="60">
        <v>220911358</v>
      </c>
      <c r="C763" s="60" t="s">
        <v>937</v>
      </c>
      <c r="D763" s="60">
        <v>7.35</v>
      </c>
      <c r="E763" s="60">
        <v>9606632372</v>
      </c>
      <c r="F763" s="60" t="s">
        <v>938</v>
      </c>
      <c r="G763" s="60" t="s">
        <v>274</v>
      </c>
      <c r="H763" s="60" t="s">
        <v>2185</v>
      </c>
      <c r="I763" s="60" t="s">
        <v>19</v>
      </c>
      <c r="J763" s="60">
        <v>444900</v>
      </c>
    </row>
    <row r="764" spans="1:10" ht="30" customHeight="1" x14ac:dyDescent="0.25">
      <c r="A764" s="60">
        <v>763</v>
      </c>
      <c r="B764" s="60">
        <v>220911524</v>
      </c>
      <c r="C764" s="60" t="s">
        <v>2041</v>
      </c>
      <c r="D764" s="60">
        <v>7.05</v>
      </c>
      <c r="E764" s="60">
        <v>7349622470</v>
      </c>
      <c r="F764" s="60" t="s">
        <v>2042</v>
      </c>
      <c r="G764" s="60" t="s">
        <v>274</v>
      </c>
      <c r="H764" s="60" t="s">
        <v>2185</v>
      </c>
      <c r="I764" s="60" t="s">
        <v>19</v>
      </c>
      <c r="J764" s="60">
        <v>444900</v>
      </c>
    </row>
    <row r="765" spans="1:10" ht="30" customHeight="1" x14ac:dyDescent="0.25">
      <c r="A765" s="60">
        <v>764</v>
      </c>
      <c r="B765" s="60">
        <v>220911252</v>
      </c>
      <c r="C765" s="60" t="s">
        <v>2209</v>
      </c>
      <c r="D765" s="60">
        <v>6.93</v>
      </c>
      <c r="E765" s="60">
        <v>6300587632</v>
      </c>
      <c r="F765" s="60" t="s">
        <v>2210</v>
      </c>
      <c r="G765" s="60" t="s">
        <v>274</v>
      </c>
      <c r="H765" s="60" t="s">
        <v>2185</v>
      </c>
      <c r="I765" s="60" t="s">
        <v>19</v>
      </c>
      <c r="J765" s="60">
        <v>444900</v>
      </c>
    </row>
    <row r="766" spans="1:10" ht="30" customHeight="1" x14ac:dyDescent="0.25">
      <c r="A766" s="60">
        <v>765</v>
      </c>
      <c r="B766" s="60">
        <v>220911047</v>
      </c>
      <c r="C766" s="60" t="s">
        <v>2211</v>
      </c>
      <c r="D766" s="60">
        <v>6.6</v>
      </c>
      <c r="E766" s="60">
        <v>8548913009</v>
      </c>
      <c r="F766" s="60" t="s">
        <v>2212</v>
      </c>
      <c r="G766" s="60" t="s">
        <v>274</v>
      </c>
      <c r="H766" s="60" t="s">
        <v>2185</v>
      </c>
      <c r="I766" s="60" t="s">
        <v>19</v>
      </c>
      <c r="J766" s="60">
        <v>444900</v>
      </c>
    </row>
    <row r="767" spans="1:10" ht="30" customHeight="1" x14ac:dyDescent="0.25">
      <c r="A767" s="60">
        <v>766</v>
      </c>
      <c r="B767" s="60">
        <v>220929180</v>
      </c>
      <c r="C767" s="60" t="s">
        <v>2213</v>
      </c>
      <c r="D767" s="60">
        <v>8.02</v>
      </c>
      <c r="E767" s="60">
        <v>8073146739</v>
      </c>
      <c r="F767" s="60" t="s">
        <v>2214</v>
      </c>
      <c r="G767" s="60" t="s">
        <v>317</v>
      </c>
      <c r="H767" s="60" t="s">
        <v>2185</v>
      </c>
      <c r="I767" s="60" t="s">
        <v>19</v>
      </c>
      <c r="J767" s="60">
        <v>444900</v>
      </c>
    </row>
    <row r="768" spans="1:10" ht="30" customHeight="1" x14ac:dyDescent="0.25">
      <c r="A768" s="60">
        <v>767</v>
      </c>
      <c r="B768" s="60">
        <v>220929258</v>
      </c>
      <c r="C768" s="60" t="s">
        <v>1985</v>
      </c>
      <c r="D768" s="60">
        <v>7.87</v>
      </c>
      <c r="E768" s="60">
        <v>9137036621</v>
      </c>
      <c r="F768" s="60" t="s">
        <v>1986</v>
      </c>
      <c r="G768" s="60" t="s">
        <v>317</v>
      </c>
      <c r="H768" s="60" t="s">
        <v>2185</v>
      </c>
      <c r="I768" s="60" t="s">
        <v>19</v>
      </c>
      <c r="J768" s="60">
        <v>444900</v>
      </c>
    </row>
    <row r="769" spans="1:11" ht="30" customHeight="1" x14ac:dyDescent="0.25">
      <c r="A769" s="60">
        <v>768</v>
      </c>
      <c r="B769" s="60">
        <v>220905196</v>
      </c>
      <c r="C769" s="60" t="s">
        <v>999</v>
      </c>
      <c r="D769" s="60">
        <v>8.26</v>
      </c>
      <c r="E769" s="60">
        <v>6294773940</v>
      </c>
      <c r="F769" s="60" t="s">
        <v>1000</v>
      </c>
      <c r="G769" s="60" t="s">
        <v>256</v>
      </c>
      <c r="H769" s="60" t="s">
        <v>2185</v>
      </c>
      <c r="I769" s="60" t="s">
        <v>19</v>
      </c>
      <c r="J769" s="60">
        <v>444900</v>
      </c>
    </row>
    <row r="770" spans="1:11" ht="30" customHeight="1" x14ac:dyDescent="0.25">
      <c r="A770" s="60">
        <v>769</v>
      </c>
      <c r="B770" s="60">
        <v>220905148</v>
      </c>
      <c r="C770" s="60" t="s">
        <v>1915</v>
      </c>
      <c r="D770" s="60">
        <v>6.99</v>
      </c>
      <c r="E770" s="60">
        <v>9390474832</v>
      </c>
      <c r="F770" s="60" t="s">
        <v>1916</v>
      </c>
      <c r="G770" s="60" t="s">
        <v>256</v>
      </c>
      <c r="H770" s="60" t="s">
        <v>2185</v>
      </c>
      <c r="I770" s="60" t="s">
        <v>19</v>
      </c>
      <c r="J770" s="60">
        <v>444900</v>
      </c>
    </row>
    <row r="771" spans="1:11" ht="30" customHeight="1" x14ac:dyDescent="0.25">
      <c r="A771" s="60">
        <v>770</v>
      </c>
      <c r="B771" s="60">
        <v>220907562</v>
      </c>
      <c r="C771" s="60" t="s">
        <v>2215</v>
      </c>
      <c r="D771" s="60">
        <v>7.53</v>
      </c>
      <c r="E771" s="60">
        <v>6304731784</v>
      </c>
      <c r="F771" s="60" t="s">
        <v>2216</v>
      </c>
      <c r="G771" s="60" t="s">
        <v>277</v>
      </c>
      <c r="H771" s="60" t="s">
        <v>2185</v>
      </c>
      <c r="I771" s="60" t="s">
        <v>19</v>
      </c>
      <c r="J771" s="60">
        <v>444900</v>
      </c>
    </row>
    <row r="772" spans="1:11" ht="30" customHeight="1" x14ac:dyDescent="0.25">
      <c r="A772" s="60">
        <v>771</v>
      </c>
      <c r="B772" s="60">
        <v>220932132</v>
      </c>
      <c r="C772" s="60" t="s">
        <v>2217</v>
      </c>
      <c r="D772" s="60">
        <v>7.21</v>
      </c>
      <c r="E772" s="60">
        <v>9406541190</v>
      </c>
      <c r="F772" s="60" t="s">
        <v>2218</v>
      </c>
      <c r="G772" s="60" t="s">
        <v>289</v>
      </c>
      <c r="H772" s="60" t="s">
        <v>2185</v>
      </c>
      <c r="I772" s="60" t="s">
        <v>19</v>
      </c>
      <c r="J772" s="60">
        <v>444900</v>
      </c>
    </row>
    <row r="773" spans="1:11" ht="30" customHeight="1" x14ac:dyDescent="0.25">
      <c r="A773" s="60">
        <v>772</v>
      </c>
      <c r="B773" s="60">
        <v>220932376</v>
      </c>
      <c r="C773" s="60" t="s">
        <v>1926</v>
      </c>
      <c r="D773" s="60">
        <v>6.96</v>
      </c>
      <c r="E773" s="60">
        <v>8152824131</v>
      </c>
      <c r="F773" s="60" t="s">
        <v>1927</v>
      </c>
      <c r="G773" s="60" t="s">
        <v>289</v>
      </c>
      <c r="H773" s="60" t="s">
        <v>2185</v>
      </c>
      <c r="I773" s="60" t="s">
        <v>19</v>
      </c>
      <c r="J773" s="60">
        <v>444900</v>
      </c>
    </row>
    <row r="774" spans="1:11" ht="30" customHeight="1" x14ac:dyDescent="0.25">
      <c r="A774" s="60">
        <v>773</v>
      </c>
      <c r="B774" s="159">
        <v>220907066</v>
      </c>
      <c r="C774" s="159" t="s">
        <v>1440</v>
      </c>
      <c r="D774" s="159">
        <v>9.6999999999999993</v>
      </c>
      <c r="E774" s="159">
        <v>9686206005</v>
      </c>
      <c r="F774" s="159" t="s">
        <v>1331</v>
      </c>
      <c r="G774" s="60" t="s">
        <v>277</v>
      </c>
      <c r="H774" s="60" t="s">
        <v>50</v>
      </c>
      <c r="I774" s="60" t="s">
        <v>21</v>
      </c>
      <c r="K774" s="60">
        <v>45000</v>
      </c>
    </row>
    <row r="775" spans="1:11" ht="30" customHeight="1" x14ac:dyDescent="0.25">
      <c r="A775" s="60">
        <v>774</v>
      </c>
      <c r="B775" s="159">
        <v>220907064</v>
      </c>
      <c r="C775" s="159" t="s">
        <v>1441</v>
      </c>
      <c r="D775" s="159">
        <v>9.43</v>
      </c>
      <c r="E775" s="159">
        <v>7358682295</v>
      </c>
      <c r="F775" s="159" t="s">
        <v>1442</v>
      </c>
      <c r="G775" s="60" t="s">
        <v>277</v>
      </c>
      <c r="H775" s="60" t="s">
        <v>50</v>
      </c>
      <c r="I775" s="60" t="s">
        <v>21</v>
      </c>
      <c r="K775" s="60">
        <v>45000</v>
      </c>
    </row>
    <row r="776" spans="1:11" ht="30" customHeight="1" x14ac:dyDescent="0.25">
      <c r="A776" s="60">
        <v>775</v>
      </c>
      <c r="B776" s="159">
        <v>220907160</v>
      </c>
      <c r="C776" s="159" t="s">
        <v>1443</v>
      </c>
      <c r="D776" s="159">
        <v>9.2200000000000006</v>
      </c>
      <c r="E776" s="159">
        <v>9741229028</v>
      </c>
      <c r="F776" s="159" t="s">
        <v>1444</v>
      </c>
      <c r="G776" s="60" t="s">
        <v>277</v>
      </c>
      <c r="H776" s="60" t="s">
        <v>50</v>
      </c>
      <c r="I776" s="60" t="s">
        <v>21</v>
      </c>
      <c r="K776" s="60">
        <v>45000</v>
      </c>
    </row>
    <row r="777" spans="1:11" ht="30" customHeight="1" x14ac:dyDescent="0.25">
      <c r="A777" s="60">
        <v>776</v>
      </c>
      <c r="B777" s="159">
        <v>220907098</v>
      </c>
      <c r="C777" s="159" t="s">
        <v>1445</v>
      </c>
      <c r="D777" s="159">
        <v>9.1199999999999992</v>
      </c>
      <c r="E777" s="159">
        <v>8660726175</v>
      </c>
      <c r="F777" s="159" t="s">
        <v>1446</v>
      </c>
      <c r="G777" s="60" t="s">
        <v>277</v>
      </c>
      <c r="H777" s="60" t="s">
        <v>50</v>
      </c>
      <c r="I777" s="60" t="s">
        <v>21</v>
      </c>
      <c r="K777" s="60">
        <v>45000</v>
      </c>
    </row>
    <row r="778" spans="1:11" ht="30" customHeight="1" x14ac:dyDescent="0.25">
      <c r="A778" s="60">
        <v>777</v>
      </c>
      <c r="B778" s="159">
        <v>220907116</v>
      </c>
      <c r="C778" s="159" t="s">
        <v>1447</v>
      </c>
      <c r="D778" s="159">
        <v>9.1</v>
      </c>
      <c r="E778" s="159">
        <v>9513737590</v>
      </c>
      <c r="F778" s="159" t="s">
        <v>1448</v>
      </c>
      <c r="G778" s="60" t="s">
        <v>277</v>
      </c>
      <c r="H778" s="60" t="s">
        <v>50</v>
      </c>
      <c r="I778" s="60" t="s">
        <v>21</v>
      </c>
      <c r="K778" s="60">
        <v>45000</v>
      </c>
    </row>
    <row r="779" spans="1:11" ht="30" customHeight="1" x14ac:dyDescent="0.25">
      <c r="A779" s="60">
        <v>778</v>
      </c>
      <c r="B779" s="159">
        <v>220907542</v>
      </c>
      <c r="C779" s="159" t="s">
        <v>1449</v>
      </c>
      <c r="D779" s="159">
        <v>8.93</v>
      </c>
      <c r="E779" s="159">
        <v>9405747281</v>
      </c>
      <c r="F779" s="159" t="s">
        <v>1450</v>
      </c>
      <c r="G779" s="60" t="s">
        <v>277</v>
      </c>
      <c r="H779" s="60" t="s">
        <v>50</v>
      </c>
      <c r="I779" s="60" t="s">
        <v>21</v>
      </c>
      <c r="K779" s="60">
        <v>45000</v>
      </c>
    </row>
    <row r="780" spans="1:11" ht="30" customHeight="1" x14ac:dyDescent="0.25">
      <c r="A780" s="60">
        <v>779</v>
      </c>
      <c r="B780" s="159">
        <v>220907102</v>
      </c>
      <c r="C780" s="159" t="s">
        <v>1451</v>
      </c>
      <c r="D780" s="159">
        <v>8.74</v>
      </c>
      <c r="E780" s="159">
        <v>8825581287</v>
      </c>
      <c r="F780" s="159" t="s">
        <v>1452</v>
      </c>
      <c r="G780" s="60" t="s">
        <v>277</v>
      </c>
      <c r="H780" s="60" t="s">
        <v>50</v>
      </c>
      <c r="I780" s="60" t="s">
        <v>21</v>
      </c>
      <c r="K780" s="60">
        <v>45000</v>
      </c>
    </row>
    <row r="781" spans="1:11" ht="30" customHeight="1" x14ac:dyDescent="0.25">
      <c r="A781" s="60">
        <v>780</v>
      </c>
      <c r="B781" s="159">
        <v>220907834</v>
      </c>
      <c r="C781" s="159" t="s">
        <v>1453</v>
      </c>
      <c r="D781" s="159">
        <v>8.43</v>
      </c>
      <c r="E781" s="159">
        <v>6393426700</v>
      </c>
      <c r="F781" s="159" t="s">
        <v>1454</v>
      </c>
      <c r="G781" s="60" t="s">
        <v>277</v>
      </c>
      <c r="H781" s="60" t="s">
        <v>50</v>
      </c>
      <c r="I781" s="60" t="s">
        <v>21</v>
      </c>
      <c r="K781" s="60">
        <v>45000</v>
      </c>
    </row>
    <row r="782" spans="1:11" ht="30" customHeight="1" x14ac:dyDescent="0.25">
      <c r="A782" s="60">
        <v>781</v>
      </c>
      <c r="B782" s="159">
        <v>220907498</v>
      </c>
      <c r="C782" s="159" t="s">
        <v>1455</v>
      </c>
      <c r="D782" s="159">
        <v>8.0299999999999994</v>
      </c>
      <c r="E782" s="159">
        <v>9409267382</v>
      </c>
      <c r="F782" s="159" t="s">
        <v>1456</v>
      </c>
      <c r="G782" s="60" t="s">
        <v>277</v>
      </c>
      <c r="H782" s="60" t="s">
        <v>50</v>
      </c>
      <c r="I782" s="60" t="s">
        <v>21</v>
      </c>
      <c r="K782" s="60">
        <v>45000</v>
      </c>
    </row>
    <row r="783" spans="1:11" ht="30" customHeight="1" x14ac:dyDescent="0.25">
      <c r="A783" s="60">
        <v>782</v>
      </c>
      <c r="B783" s="159">
        <v>220907706</v>
      </c>
      <c r="C783" s="159" t="s">
        <v>1457</v>
      </c>
      <c r="D783" s="159">
        <v>7.41</v>
      </c>
      <c r="E783" s="159">
        <v>9739132240</v>
      </c>
      <c r="F783" s="159" t="s">
        <v>1458</v>
      </c>
      <c r="G783" s="60" t="s">
        <v>277</v>
      </c>
      <c r="H783" s="60" t="s">
        <v>50</v>
      </c>
      <c r="I783" s="60" t="s">
        <v>21</v>
      </c>
      <c r="K783" s="60">
        <v>45000</v>
      </c>
    </row>
    <row r="784" spans="1:11" ht="30" customHeight="1" x14ac:dyDescent="0.25">
      <c r="A784" s="60">
        <v>783</v>
      </c>
      <c r="B784" s="159">
        <v>220905498</v>
      </c>
      <c r="C784" s="159" t="s">
        <v>1459</v>
      </c>
      <c r="D784" s="159">
        <v>8.74</v>
      </c>
      <c r="E784" s="159">
        <v>7678508940</v>
      </c>
      <c r="F784" s="159" t="s">
        <v>1460</v>
      </c>
      <c r="G784" s="60" t="s">
        <v>256</v>
      </c>
      <c r="H784" s="60" t="s">
        <v>48</v>
      </c>
      <c r="I784" s="60" t="s">
        <v>21</v>
      </c>
      <c r="K784" s="60">
        <v>45000</v>
      </c>
    </row>
    <row r="785" spans="1:11" ht="30" customHeight="1" x14ac:dyDescent="0.25">
      <c r="A785" s="60">
        <v>784</v>
      </c>
      <c r="B785" s="159">
        <v>220911590</v>
      </c>
      <c r="C785" s="159" t="s">
        <v>1461</v>
      </c>
      <c r="D785" s="159">
        <v>8.26</v>
      </c>
      <c r="E785" s="159">
        <v>9502607502</v>
      </c>
      <c r="F785" s="159" t="s">
        <v>1462</v>
      </c>
      <c r="G785" s="60" t="s">
        <v>274</v>
      </c>
      <c r="H785" s="60" t="s">
        <v>48</v>
      </c>
      <c r="I785" s="60" t="s">
        <v>21</v>
      </c>
      <c r="K785" s="60">
        <v>45000</v>
      </c>
    </row>
    <row r="786" spans="1:11" ht="30" customHeight="1" x14ac:dyDescent="0.25">
      <c r="A786" s="60">
        <v>785</v>
      </c>
      <c r="B786" s="159">
        <v>220905308</v>
      </c>
      <c r="C786" s="159" t="s">
        <v>1463</v>
      </c>
      <c r="D786" s="159">
        <v>8.09</v>
      </c>
      <c r="E786" s="159">
        <v>7981773558</v>
      </c>
      <c r="F786" s="159" t="s">
        <v>1464</v>
      </c>
      <c r="G786" s="159" t="s">
        <v>256</v>
      </c>
      <c r="H786" s="60" t="s">
        <v>51</v>
      </c>
      <c r="I786" s="60" t="s">
        <v>21</v>
      </c>
      <c r="K786" s="60">
        <v>39000</v>
      </c>
    </row>
    <row r="787" spans="1:11" ht="30" customHeight="1" x14ac:dyDescent="0.25">
      <c r="A787" s="60">
        <v>786</v>
      </c>
      <c r="B787" s="159">
        <v>220906308</v>
      </c>
      <c r="C787" s="159" t="s">
        <v>1465</v>
      </c>
      <c r="D787" s="159">
        <v>6.23</v>
      </c>
      <c r="E787" s="159">
        <v>9703417170</v>
      </c>
      <c r="F787" s="159" t="s">
        <v>1466</v>
      </c>
      <c r="G787" s="159" t="s">
        <v>478</v>
      </c>
      <c r="H787" s="60" t="s">
        <v>51</v>
      </c>
      <c r="I787" s="60" t="s">
        <v>21</v>
      </c>
      <c r="K787" s="60">
        <v>39000</v>
      </c>
    </row>
    <row r="788" spans="1:11" ht="30" customHeight="1" x14ac:dyDescent="0.25">
      <c r="A788" s="60">
        <v>787</v>
      </c>
      <c r="B788" s="159">
        <v>220907132</v>
      </c>
      <c r="C788" s="159" t="s">
        <v>1467</v>
      </c>
      <c r="D788" s="159">
        <v>8.06</v>
      </c>
      <c r="E788" s="60">
        <v>8949082613</v>
      </c>
      <c r="F788" s="60" t="s">
        <v>1468</v>
      </c>
      <c r="G788" s="159" t="s">
        <v>277</v>
      </c>
      <c r="H788" s="162" t="s">
        <v>51</v>
      </c>
      <c r="I788" s="60" t="s">
        <v>21</v>
      </c>
      <c r="K788" s="162">
        <v>39000</v>
      </c>
    </row>
    <row r="789" spans="1:11" ht="30" customHeight="1" x14ac:dyDescent="0.25">
      <c r="A789" s="60">
        <v>788</v>
      </c>
      <c r="B789" s="159">
        <v>220968222</v>
      </c>
      <c r="C789" s="159" t="s">
        <v>1469</v>
      </c>
      <c r="D789" s="159">
        <v>8.99</v>
      </c>
      <c r="E789" s="159">
        <v>9322567207</v>
      </c>
      <c r="F789" s="159" t="s">
        <v>1283</v>
      </c>
      <c r="G789" s="159" t="s">
        <v>384</v>
      </c>
      <c r="H789" s="60" t="s">
        <v>1470</v>
      </c>
      <c r="I789" s="60" t="s">
        <v>21</v>
      </c>
      <c r="K789" s="60">
        <v>30000</v>
      </c>
    </row>
    <row r="790" spans="1:11" ht="30" customHeight="1" x14ac:dyDescent="0.25">
      <c r="A790" s="60">
        <v>789</v>
      </c>
      <c r="B790" s="159">
        <v>220968154</v>
      </c>
      <c r="C790" s="159" t="s">
        <v>1471</v>
      </c>
      <c r="D790" s="159">
        <v>8.14</v>
      </c>
      <c r="E790" s="159">
        <v>9555880482</v>
      </c>
      <c r="F790" s="159" t="s">
        <v>1472</v>
      </c>
      <c r="G790" s="159" t="s">
        <v>384</v>
      </c>
      <c r="H790" s="60" t="s">
        <v>1470</v>
      </c>
      <c r="I790" s="60" t="s">
        <v>21</v>
      </c>
      <c r="K790" s="60">
        <v>30000</v>
      </c>
    </row>
    <row r="791" spans="1:11" ht="30" customHeight="1" x14ac:dyDescent="0.25">
      <c r="A791" s="60">
        <v>790</v>
      </c>
      <c r="B791" s="159">
        <v>220968182</v>
      </c>
      <c r="C791" s="159" t="s">
        <v>1286</v>
      </c>
      <c r="D791" s="159">
        <v>8</v>
      </c>
      <c r="E791" s="159">
        <v>7702929983</v>
      </c>
      <c r="F791" s="159" t="s">
        <v>1287</v>
      </c>
      <c r="G791" s="159" t="s">
        <v>384</v>
      </c>
      <c r="H791" s="60" t="s">
        <v>1470</v>
      </c>
      <c r="I791" s="60" t="s">
        <v>21</v>
      </c>
      <c r="K791" s="60">
        <v>30000</v>
      </c>
    </row>
    <row r="792" spans="1:11" ht="30" customHeight="1" x14ac:dyDescent="0.25">
      <c r="A792" s="60">
        <v>791</v>
      </c>
      <c r="B792" s="159">
        <v>220968288</v>
      </c>
      <c r="C792" s="159" t="s">
        <v>1473</v>
      </c>
      <c r="D792" s="159">
        <v>7.01</v>
      </c>
      <c r="E792" s="159">
        <v>9242712660</v>
      </c>
      <c r="F792" s="159" t="s">
        <v>1474</v>
      </c>
      <c r="G792" s="159" t="s">
        <v>384</v>
      </c>
      <c r="H792" s="60" t="s">
        <v>1470</v>
      </c>
      <c r="I792" s="60" t="s">
        <v>21</v>
      </c>
      <c r="K792" s="60">
        <v>30000</v>
      </c>
    </row>
    <row r="793" spans="1:11" ht="30" customHeight="1" x14ac:dyDescent="0.25">
      <c r="A793" s="60">
        <v>792</v>
      </c>
      <c r="B793" s="159">
        <v>220968372</v>
      </c>
      <c r="C793" s="159" t="s">
        <v>1475</v>
      </c>
      <c r="D793" s="159">
        <v>6.68</v>
      </c>
      <c r="E793" s="159">
        <v>7600219080</v>
      </c>
      <c r="F793" s="159" t="s">
        <v>1476</v>
      </c>
      <c r="G793" s="159" t="s">
        <v>384</v>
      </c>
      <c r="H793" s="60" t="s">
        <v>1470</v>
      </c>
      <c r="I793" s="60" t="s">
        <v>21</v>
      </c>
      <c r="K793" s="60">
        <v>30000</v>
      </c>
    </row>
    <row r="794" spans="1:11" ht="30" customHeight="1" x14ac:dyDescent="0.25">
      <c r="A794" s="60">
        <v>793</v>
      </c>
      <c r="B794" s="159">
        <v>220907752</v>
      </c>
      <c r="C794" s="159" t="s">
        <v>1477</v>
      </c>
      <c r="D794" s="159">
        <v>7.63</v>
      </c>
      <c r="E794" s="159">
        <v>9311694099</v>
      </c>
      <c r="F794" s="159" t="s">
        <v>1478</v>
      </c>
      <c r="G794" s="159" t="s">
        <v>277</v>
      </c>
      <c r="H794" s="60" t="s">
        <v>1470</v>
      </c>
      <c r="I794" s="60" t="s">
        <v>21</v>
      </c>
      <c r="K794" s="60">
        <v>30000</v>
      </c>
    </row>
    <row r="795" spans="1:11" ht="30" customHeight="1" x14ac:dyDescent="0.25">
      <c r="A795" s="60">
        <v>794</v>
      </c>
      <c r="B795" s="159">
        <v>220962438</v>
      </c>
      <c r="C795" s="159" t="s">
        <v>884</v>
      </c>
      <c r="D795" s="159">
        <v>8.25</v>
      </c>
      <c r="E795" s="159">
        <v>9073277216</v>
      </c>
      <c r="F795" s="159" t="s">
        <v>885</v>
      </c>
      <c r="G795" s="159" t="s">
        <v>253</v>
      </c>
      <c r="H795" s="60" t="s">
        <v>52</v>
      </c>
      <c r="I795" s="60" t="s">
        <v>21</v>
      </c>
      <c r="K795" s="60">
        <v>50000</v>
      </c>
    </row>
    <row r="796" spans="1:11" ht="30" customHeight="1" x14ac:dyDescent="0.25">
      <c r="A796" s="60">
        <v>795</v>
      </c>
      <c r="B796" s="159">
        <v>220962298</v>
      </c>
      <c r="C796" s="159" t="s">
        <v>1479</v>
      </c>
      <c r="D796" s="159">
        <v>8.2200000000000006</v>
      </c>
      <c r="E796" s="159">
        <v>7406631225</v>
      </c>
      <c r="F796" s="159" t="s">
        <v>1480</v>
      </c>
      <c r="G796" s="159" t="s">
        <v>253</v>
      </c>
      <c r="H796" s="60" t="s">
        <v>52</v>
      </c>
      <c r="I796" s="60" t="s">
        <v>21</v>
      </c>
      <c r="K796" s="60">
        <v>50000</v>
      </c>
    </row>
    <row r="797" spans="1:11" ht="30" customHeight="1" x14ac:dyDescent="0.25">
      <c r="A797" s="60">
        <v>796</v>
      </c>
      <c r="B797" s="159">
        <v>220911514</v>
      </c>
      <c r="C797" s="159" t="s">
        <v>1481</v>
      </c>
      <c r="D797" s="159">
        <v>8.86</v>
      </c>
      <c r="E797" s="159">
        <v>9502741028</v>
      </c>
      <c r="F797" s="159" t="s">
        <v>1482</v>
      </c>
      <c r="G797" s="159" t="s">
        <v>274</v>
      </c>
      <c r="H797" s="60" t="s">
        <v>52</v>
      </c>
      <c r="I797" s="60" t="s">
        <v>21</v>
      </c>
      <c r="K797" s="60">
        <v>50000</v>
      </c>
    </row>
    <row r="798" spans="1:11" ht="30" customHeight="1" x14ac:dyDescent="0.25">
      <c r="A798" s="60">
        <v>797</v>
      </c>
      <c r="B798" s="159">
        <v>220911434</v>
      </c>
      <c r="C798" s="159" t="s">
        <v>1483</v>
      </c>
      <c r="D798" s="159">
        <v>7.99</v>
      </c>
      <c r="E798" s="159">
        <v>8762152817</v>
      </c>
      <c r="F798" s="159" t="s">
        <v>1484</v>
      </c>
      <c r="G798" s="159" t="s">
        <v>274</v>
      </c>
      <c r="H798" s="60" t="s">
        <v>52</v>
      </c>
      <c r="I798" s="60" t="s">
        <v>21</v>
      </c>
      <c r="K798" s="60">
        <v>50000</v>
      </c>
    </row>
    <row r="799" spans="1:11" ht="30" customHeight="1" x14ac:dyDescent="0.25">
      <c r="A799" s="60">
        <v>798</v>
      </c>
      <c r="B799" s="60">
        <v>220962049</v>
      </c>
      <c r="C799" s="60" t="s">
        <v>1485</v>
      </c>
      <c r="D799" s="60">
        <v>7.6</v>
      </c>
      <c r="E799" s="60">
        <v>7678673737</v>
      </c>
      <c r="F799" s="60" t="s">
        <v>1486</v>
      </c>
      <c r="G799" s="159" t="s">
        <v>253</v>
      </c>
      <c r="H799" s="60" t="s">
        <v>1487</v>
      </c>
      <c r="I799" s="60" t="s">
        <v>21</v>
      </c>
      <c r="K799" s="60">
        <v>40000</v>
      </c>
    </row>
    <row r="800" spans="1:11" ht="30" customHeight="1" x14ac:dyDescent="0.25">
      <c r="A800" s="60">
        <v>799</v>
      </c>
      <c r="B800" s="159">
        <v>220953106</v>
      </c>
      <c r="C800" s="159" t="s">
        <v>1488</v>
      </c>
      <c r="D800" s="159">
        <v>7.89</v>
      </c>
      <c r="E800" s="159">
        <v>9892758894</v>
      </c>
      <c r="F800" s="159" t="s">
        <v>1489</v>
      </c>
      <c r="G800" s="159" t="s">
        <v>261</v>
      </c>
      <c r="H800" s="60" t="s">
        <v>45</v>
      </c>
      <c r="I800" s="60" t="s">
        <v>21</v>
      </c>
      <c r="K800" s="60">
        <v>45000</v>
      </c>
    </row>
    <row r="801" spans="1:11" ht="30" customHeight="1" x14ac:dyDescent="0.25">
      <c r="A801" s="60">
        <v>800</v>
      </c>
      <c r="B801" s="159">
        <v>220905450</v>
      </c>
      <c r="C801" s="159" t="s">
        <v>1490</v>
      </c>
      <c r="D801" s="159">
        <v>7.8</v>
      </c>
      <c r="E801" s="159">
        <v>9959379912</v>
      </c>
      <c r="F801" s="159" t="s">
        <v>1491</v>
      </c>
      <c r="G801" s="159" t="s">
        <v>256</v>
      </c>
      <c r="H801" s="60" t="s">
        <v>45</v>
      </c>
      <c r="I801" s="60" t="s">
        <v>21</v>
      </c>
      <c r="K801" s="60">
        <v>45000</v>
      </c>
    </row>
    <row r="802" spans="1:11" ht="30" customHeight="1" x14ac:dyDescent="0.25">
      <c r="A802" s="60">
        <v>801</v>
      </c>
      <c r="B802" s="159">
        <v>220905442</v>
      </c>
      <c r="C802" s="159" t="s">
        <v>1492</v>
      </c>
      <c r="D802" s="159">
        <v>7.28</v>
      </c>
      <c r="E802" s="159">
        <v>7069911122</v>
      </c>
      <c r="F802" s="159" t="s">
        <v>1493</v>
      </c>
      <c r="G802" s="159" t="s">
        <v>256</v>
      </c>
      <c r="H802" s="60" t="s">
        <v>45</v>
      </c>
      <c r="I802" s="60" t="s">
        <v>21</v>
      </c>
      <c r="K802" s="60">
        <v>45000</v>
      </c>
    </row>
    <row r="803" spans="1:11" ht="30" customHeight="1" x14ac:dyDescent="0.25">
      <c r="A803" s="60">
        <v>802</v>
      </c>
      <c r="B803" s="159">
        <v>220961166</v>
      </c>
      <c r="C803" s="159" t="s">
        <v>1494</v>
      </c>
      <c r="D803" s="159">
        <v>7.48</v>
      </c>
      <c r="E803" s="159">
        <v>9871085531</v>
      </c>
      <c r="F803" s="159" t="s">
        <v>1495</v>
      </c>
      <c r="G803" s="159" t="s">
        <v>541</v>
      </c>
      <c r="H803" s="60" t="s">
        <v>45</v>
      </c>
      <c r="I803" s="60" t="s">
        <v>21</v>
      </c>
      <c r="K803" s="60">
        <v>45000</v>
      </c>
    </row>
    <row r="804" spans="1:11" ht="30" customHeight="1" x14ac:dyDescent="0.25">
      <c r="A804" s="60">
        <v>803</v>
      </c>
      <c r="B804" s="159">
        <v>220968340</v>
      </c>
      <c r="C804" s="159" t="s">
        <v>1496</v>
      </c>
      <c r="D804" s="159">
        <v>7.61</v>
      </c>
      <c r="E804" s="159">
        <v>8655808067</v>
      </c>
      <c r="F804" s="159" t="s">
        <v>1497</v>
      </c>
      <c r="G804" s="159" t="s">
        <v>384</v>
      </c>
      <c r="H804" s="60" t="s">
        <v>45</v>
      </c>
      <c r="I804" s="60" t="s">
        <v>21</v>
      </c>
      <c r="K804" s="60">
        <v>45000</v>
      </c>
    </row>
    <row r="805" spans="1:11" ht="30" customHeight="1" x14ac:dyDescent="0.25">
      <c r="A805" s="60">
        <v>804</v>
      </c>
      <c r="B805" s="159">
        <v>220968031</v>
      </c>
      <c r="C805" s="159" t="s">
        <v>1498</v>
      </c>
      <c r="D805" s="159">
        <v>7.45</v>
      </c>
      <c r="E805" s="159">
        <v>8290844345</v>
      </c>
      <c r="F805" s="159" t="s">
        <v>1499</v>
      </c>
      <c r="G805" s="159" t="s">
        <v>384</v>
      </c>
      <c r="H805" s="60" t="s">
        <v>45</v>
      </c>
      <c r="I805" s="60" t="s">
        <v>21</v>
      </c>
      <c r="K805" s="60">
        <v>45000</v>
      </c>
    </row>
    <row r="806" spans="1:11" ht="30" customHeight="1" x14ac:dyDescent="0.25">
      <c r="A806" s="60">
        <v>805</v>
      </c>
      <c r="B806" s="159">
        <v>220968168</v>
      </c>
      <c r="C806" s="159" t="s">
        <v>1500</v>
      </c>
      <c r="D806" s="160">
        <v>8.64</v>
      </c>
      <c r="E806" s="159">
        <v>9075100591</v>
      </c>
      <c r="F806" s="159" t="s">
        <v>1501</v>
      </c>
      <c r="G806" s="159" t="s">
        <v>384</v>
      </c>
      <c r="H806" s="60" t="s">
        <v>45</v>
      </c>
      <c r="I806" s="60" t="s">
        <v>21</v>
      </c>
      <c r="K806" s="60">
        <v>45000</v>
      </c>
    </row>
    <row r="807" spans="1:11" ht="30" customHeight="1" x14ac:dyDescent="0.25">
      <c r="A807" s="60">
        <v>806</v>
      </c>
      <c r="B807" s="159">
        <v>220962344</v>
      </c>
      <c r="C807" s="159" t="s">
        <v>1502</v>
      </c>
      <c r="D807" s="159">
        <v>8.5500000000000007</v>
      </c>
      <c r="E807" s="159">
        <v>7028848656</v>
      </c>
      <c r="F807" s="159" t="s">
        <v>1503</v>
      </c>
      <c r="G807" s="159" t="s">
        <v>253</v>
      </c>
      <c r="H807" s="60" t="s">
        <v>65</v>
      </c>
      <c r="I807" s="60" t="s">
        <v>21</v>
      </c>
      <c r="K807" s="60">
        <v>70000</v>
      </c>
    </row>
    <row r="808" spans="1:11" ht="30" customHeight="1" x14ac:dyDescent="0.25">
      <c r="A808" s="60">
        <v>807</v>
      </c>
      <c r="B808" s="159">
        <v>220962294</v>
      </c>
      <c r="C808" s="159" t="s">
        <v>1504</v>
      </c>
      <c r="D808" s="159">
        <v>8.0299999999999994</v>
      </c>
      <c r="E808" s="159">
        <v>9599736610</v>
      </c>
      <c r="F808" s="159" t="s">
        <v>1505</v>
      </c>
      <c r="G808" s="159" t="s">
        <v>253</v>
      </c>
      <c r="H808" s="60" t="s">
        <v>65</v>
      </c>
      <c r="I808" s="60" t="s">
        <v>21</v>
      </c>
      <c r="K808" s="60">
        <v>70000</v>
      </c>
    </row>
    <row r="809" spans="1:11" ht="30" customHeight="1" x14ac:dyDescent="0.25">
      <c r="A809" s="60">
        <v>808</v>
      </c>
      <c r="B809" s="159">
        <v>220905304</v>
      </c>
      <c r="C809" s="159" t="s">
        <v>1506</v>
      </c>
      <c r="D809" s="159">
        <v>9.61</v>
      </c>
      <c r="E809" s="159">
        <v>9167297051</v>
      </c>
      <c r="F809" s="159" t="s">
        <v>1507</v>
      </c>
      <c r="G809" s="159" t="s">
        <v>256</v>
      </c>
      <c r="H809" s="60" t="s">
        <v>65</v>
      </c>
      <c r="I809" s="60" t="s">
        <v>21</v>
      </c>
      <c r="K809" s="60">
        <v>70000</v>
      </c>
    </row>
    <row r="810" spans="1:11" ht="30" customHeight="1" x14ac:dyDescent="0.25">
      <c r="A810" s="60">
        <v>809</v>
      </c>
      <c r="B810" s="159">
        <v>220905298</v>
      </c>
      <c r="C810" s="159" t="s">
        <v>1108</v>
      </c>
      <c r="D810" s="159">
        <v>9.4</v>
      </c>
      <c r="E810" s="159">
        <v>9632663822</v>
      </c>
      <c r="F810" s="159" t="s">
        <v>1109</v>
      </c>
      <c r="G810" s="159" t="s">
        <v>256</v>
      </c>
      <c r="H810" s="60" t="s">
        <v>65</v>
      </c>
      <c r="I810" s="60" t="s">
        <v>21</v>
      </c>
      <c r="K810" s="60">
        <v>70000</v>
      </c>
    </row>
    <row r="811" spans="1:11" ht="30" customHeight="1" x14ac:dyDescent="0.25">
      <c r="A811" s="60">
        <v>810</v>
      </c>
      <c r="B811" s="159">
        <v>220905462</v>
      </c>
      <c r="C811" s="159" t="s">
        <v>1508</v>
      </c>
      <c r="D811" s="159">
        <v>7.75</v>
      </c>
      <c r="E811" s="159">
        <v>7780739920</v>
      </c>
      <c r="F811" s="159" t="s">
        <v>1509</v>
      </c>
      <c r="G811" s="159" t="s">
        <v>256</v>
      </c>
      <c r="H811" s="60" t="s">
        <v>65</v>
      </c>
      <c r="I811" s="60" t="s">
        <v>21</v>
      </c>
      <c r="K811" s="60">
        <v>70000</v>
      </c>
    </row>
    <row r="812" spans="1:11" ht="30" customHeight="1" x14ac:dyDescent="0.25">
      <c r="A812" s="60">
        <v>811</v>
      </c>
      <c r="B812" s="159">
        <v>220968116</v>
      </c>
      <c r="C812" s="159" t="s">
        <v>1510</v>
      </c>
      <c r="D812" s="159">
        <v>8.9600000000000009</v>
      </c>
      <c r="E812" s="159">
        <v>8826471440</v>
      </c>
      <c r="F812" s="159" t="s">
        <v>1511</v>
      </c>
      <c r="G812" s="159" t="s">
        <v>384</v>
      </c>
      <c r="H812" s="60" t="s">
        <v>65</v>
      </c>
      <c r="I812" s="60" t="s">
        <v>21</v>
      </c>
      <c r="K812" s="60">
        <v>70000</v>
      </c>
    </row>
    <row r="813" spans="1:11" ht="30" customHeight="1" x14ac:dyDescent="0.25">
      <c r="A813" s="60">
        <v>812</v>
      </c>
      <c r="B813" s="159">
        <v>220911326</v>
      </c>
      <c r="C813" s="159" t="s">
        <v>1512</v>
      </c>
      <c r="D813" s="159">
        <v>8.4499999999999993</v>
      </c>
      <c r="E813" s="159">
        <v>8660134418</v>
      </c>
      <c r="F813" s="159" t="s">
        <v>1513</v>
      </c>
      <c r="G813" s="159" t="s">
        <v>274</v>
      </c>
      <c r="H813" s="60" t="s">
        <v>65</v>
      </c>
      <c r="I813" s="60" t="s">
        <v>21</v>
      </c>
      <c r="K813" s="60">
        <v>70000</v>
      </c>
    </row>
    <row r="814" spans="1:11" ht="30" customHeight="1" x14ac:dyDescent="0.25">
      <c r="A814" s="60">
        <v>813</v>
      </c>
      <c r="B814" s="159">
        <v>220911036</v>
      </c>
      <c r="C814" s="159" t="s">
        <v>1514</v>
      </c>
      <c r="D814" s="159">
        <v>8.17</v>
      </c>
      <c r="E814" s="159">
        <v>9724614220</v>
      </c>
      <c r="F814" s="159" t="s">
        <v>1515</v>
      </c>
      <c r="G814" s="159" t="s">
        <v>274</v>
      </c>
      <c r="H814" s="60" t="s">
        <v>65</v>
      </c>
      <c r="I814" s="60" t="s">
        <v>21</v>
      </c>
      <c r="K814" s="60">
        <v>70000</v>
      </c>
    </row>
    <row r="815" spans="1:11" ht="30" customHeight="1" x14ac:dyDescent="0.25">
      <c r="A815" s="60">
        <v>814</v>
      </c>
      <c r="B815" s="159">
        <v>220905082</v>
      </c>
      <c r="C815" s="159" t="s">
        <v>1516</v>
      </c>
      <c r="D815" s="159">
        <v>6.78</v>
      </c>
      <c r="E815" s="159">
        <v>9897503635</v>
      </c>
      <c r="F815" s="159" t="s">
        <v>1517</v>
      </c>
      <c r="G815" s="159" t="s">
        <v>256</v>
      </c>
      <c r="H815" s="60" t="s">
        <v>66</v>
      </c>
      <c r="I815" s="60" t="s">
        <v>21</v>
      </c>
      <c r="K815" s="60">
        <v>70000</v>
      </c>
    </row>
    <row r="816" spans="1:11" ht="30" customHeight="1" x14ac:dyDescent="0.25">
      <c r="A816" s="60">
        <v>815</v>
      </c>
      <c r="B816" s="159">
        <v>220968178</v>
      </c>
      <c r="C816" s="159" t="s">
        <v>1518</v>
      </c>
      <c r="D816" s="159">
        <v>9.2100000000000009</v>
      </c>
      <c r="E816" s="159">
        <v>8291445307</v>
      </c>
      <c r="F816" s="159" t="s">
        <v>1519</v>
      </c>
      <c r="G816" s="159" t="s">
        <v>384</v>
      </c>
      <c r="H816" s="60" t="s">
        <v>66</v>
      </c>
      <c r="I816" s="60" t="s">
        <v>21</v>
      </c>
      <c r="K816" s="60">
        <v>70000</v>
      </c>
    </row>
    <row r="817" spans="1:11" ht="30" customHeight="1" x14ac:dyDescent="0.25">
      <c r="A817" s="60">
        <v>816</v>
      </c>
      <c r="B817" s="159">
        <v>220968428</v>
      </c>
      <c r="C817" s="159" t="s">
        <v>1520</v>
      </c>
      <c r="D817" s="159">
        <v>8.69</v>
      </c>
      <c r="E817" s="159">
        <v>9540161282</v>
      </c>
      <c r="F817" s="159" t="s">
        <v>1521</v>
      </c>
      <c r="G817" s="159" t="s">
        <v>384</v>
      </c>
      <c r="H817" s="60" t="s">
        <v>66</v>
      </c>
      <c r="I817" s="60" t="s">
        <v>21</v>
      </c>
      <c r="K817" s="60">
        <v>70000</v>
      </c>
    </row>
    <row r="818" spans="1:11" ht="30" customHeight="1" x14ac:dyDescent="0.25">
      <c r="A818" s="60">
        <v>817</v>
      </c>
      <c r="B818" s="159">
        <v>220968402</v>
      </c>
      <c r="C818" s="159" t="s">
        <v>1522</v>
      </c>
      <c r="D818" s="159">
        <v>8.52</v>
      </c>
      <c r="E818" s="159">
        <v>9901714848</v>
      </c>
      <c r="F818" s="159" t="s">
        <v>1523</v>
      </c>
      <c r="G818" s="159" t="s">
        <v>384</v>
      </c>
      <c r="H818" s="60" t="s">
        <v>66</v>
      </c>
      <c r="I818" s="60" t="s">
        <v>21</v>
      </c>
      <c r="K818" s="60">
        <v>70000</v>
      </c>
    </row>
    <row r="819" spans="1:11" ht="30" customHeight="1" x14ac:dyDescent="0.25">
      <c r="A819" s="60">
        <v>818</v>
      </c>
      <c r="B819" s="159">
        <v>220968150</v>
      </c>
      <c r="C819" s="159" t="s">
        <v>1524</v>
      </c>
      <c r="D819" s="159">
        <v>8.33</v>
      </c>
      <c r="E819" s="159">
        <v>9833514090</v>
      </c>
      <c r="F819" s="159" t="s">
        <v>1525</v>
      </c>
      <c r="G819" s="159" t="s">
        <v>384</v>
      </c>
      <c r="H819" s="60" t="s">
        <v>66</v>
      </c>
      <c r="I819" s="60" t="s">
        <v>21</v>
      </c>
      <c r="K819" s="60">
        <v>70000</v>
      </c>
    </row>
    <row r="820" spans="1:11" ht="30" customHeight="1" x14ac:dyDescent="0.25">
      <c r="A820" s="60">
        <v>819</v>
      </c>
      <c r="B820" s="159">
        <v>220968284</v>
      </c>
      <c r="C820" s="159" t="s">
        <v>1526</v>
      </c>
      <c r="D820" s="159">
        <v>8.14</v>
      </c>
      <c r="E820" s="159">
        <v>7624914172</v>
      </c>
      <c r="F820" s="159" t="s">
        <v>1527</v>
      </c>
      <c r="G820" s="159" t="s">
        <v>384</v>
      </c>
      <c r="H820" s="60" t="s">
        <v>66</v>
      </c>
      <c r="I820" s="60" t="s">
        <v>21</v>
      </c>
      <c r="K820" s="60">
        <v>70000</v>
      </c>
    </row>
    <row r="821" spans="1:11" ht="30" customHeight="1" x14ac:dyDescent="0.25">
      <c r="A821" s="60">
        <v>820</v>
      </c>
      <c r="B821" s="159">
        <v>220968114</v>
      </c>
      <c r="C821" s="159" t="s">
        <v>1528</v>
      </c>
      <c r="D821" s="159">
        <v>7.97</v>
      </c>
      <c r="E821" s="159">
        <v>9305742304</v>
      </c>
      <c r="F821" s="159" t="s">
        <v>1529</v>
      </c>
      <c r="G821" s="159" t="s">
        <v>384</v>
      </c>
      <c r="H821" s="60" t="s">
        <v>66</v>
      </c>
      <c r="I821" s="60" t="s">
        <v>21</v>
      </c>
      <c r="K821" s="60">
        <v>70000</v>
      </c>
    </row>
    <row r="822" spans="1:11" ht="30" customHeight="1" x14ac:dyDescent="0.25">
      <c r="A822" s="60">
        <v>821</v>
      </c>
      <c r="B822" s="159">
        <v>220968234</v>
      </c>
      <c r="C822" s="159" t="s">
        <v>1530</v>
      </c>
      <c r="D822" s="159">
        <v>7.43</v>
      </c>
      <c r="E822" s="159">
        <v>9970921112</v>
      </c>
      <c r="F822" s="159" t="s">
        <v>1531</v>
      </c>
      <c r="G822" s="159" t="s">
        <v>384</v>
      </c>
      <c r="H822" s="60" t="s">
        <v>66</v>
      </c>
      <c r="I822" s="60" t="s">
        <v>21</v>
      </c>
      <c r="K822" s="60">
        <v>70000</v>
      </c>
    </row>
    <row r="823" spans="1:11" ht="30" customHeight="1" x14ac:dyDescent="0.25">
      <c r="A823" s="60">
        <v>822</v>
      </c>
      <c r="B823" s="159">
        <v>220968252</v>
      </c>
      <c r="C823" s="159" t="s">
        <v>1532</v>
      </c>
      <c r="D823" s="159">
        <v>7.42</v>
      </c>
      <c r="E823" s="159">
        <v>9557510100</v>
      </c>
      <c r="F823" s="159" t="s">
        <v>1533</v>
      </c>
      <c r="G823" s="159" t="s">
        <v>384</v>
      </c>
      <c r="H823" s="60" t="s">
        <v>66</v>
      </c>
      <c r="I823" s="60" t="s">
        <v>21</v>
      </c>
      <c r="K823" s="60">
        <v>70000</v>
      </c>
    </row>
    <row r="824" spans="1:11" ht="30" customHeight="1" x14ac:dyDescent="0.25">
      <c r="A824" s="60">
        <v>823</v>
      </c>
      <c r="B824" s="159">
        <v>220968092</v>
      </c>
      <c r="C824" s="159" t="s">
        <v>1534</v>
      </c>
      <c r="D824" s="159">
        <v>6.91</v>
      </c>
      <c r="E824" s="159">
        <v>9468304426</v>
      </c>
      <c r="F824" s="159" t="s">
        <v>1535</v>
      </c>
      <c r="G824" s="159" t="s">
        <v>384</v>
      </c>
      <c r="H824" s="60" t="s">
        <v>66</v>
      </c>
      <c r="I824" s="60" t="s">
        <v>21</v>
      </c>
      <c r="K824" s="60">
        <v>70000</v>
      </c>
    </row>
    <row r="825" spans="1:11" ht="30" customHeight="1" x14ac:dyDescent="0.25">
      <c r="A825" s="60">
        <v>824</v>
      </c>
      <c r="B825" s="159">
        <v>220968382</v>
      </c>
      <c r="C825" s="159" t="s">
        <v>1536</v>
      </c>
      <c r="D825" s="159">
        <v>6.79</v>
      </c>
      <c r="E825" s="159">
        <v>8867579966</v>
      </c>
      <c r="F825" s="159" t="s">
        <v>1537</v>
      </c>
      <c r="G825" s="159" t="s">
        <v>384</v>
      </c>
      <c r="H825" s="60" t="s">
        <v>66</v>
      </c>
      <c r="I825" s="60" t="s">
        <v>21</v>
      </c>
      <c r="K825" s="60">
        <v>70000</v>
      </c>
    </row>
    <row r="826" spans="1:11" ht="30" customHeight="1" x14ac:dyDescent="0.25">
      <c r="A826" s="60">
        <v>825</v>
      </c>
      <c r="B826" s="159">
        <v>220929128</v>
      </c>
      <c r="C826" s="159" t="s">
        <v>1538</v>
      </c>
      <c r="D826" s="159">
        <v>7.81</v>
      </c>
      <c r="E826" s="159">
        <v>9902075384</v>
      </c>
      <c r="F826" s="159" t="s">
        <v>1539</v>
      </c>
      <c r="G826" s="159" t="s">
        <v>317</v>
      </c>
      <c r="H826" s="60" t="s">
        <v>66</v>
      </c>
      <c r="I826" s="60" t="s">
        <v>21</v>
      </c>
      <c r="K826" s="60">
        <v>70000</v>
      </c>
    </row>
    <row r="827" spans="1:11" ht="30" customHeight="1" x14ac:dyDescent="0.25">
      <c r="A827" s="60">
        <v>826</v>
      </c>
      <c r="B827" s="159">
        <v>220929012</v>
      </c>
      <c r="C827" s="159" t="s">
        <v>1540</v>
      </c>
      <c r="D827" s="159">
        <v>7.52</v>
      </c>
      <c r="E827" s="159">
        <v>6360119274</v>
      </c>
      <c r="F827" s="159" t="s">
        <v>1541</v>
      </c>
      <c r="G827" s="159" t="s">
        <v>317</v>
      </c>
      <c r="H827" s="60" t="s">
        <v>66</v>
      </c>
      <c r="I827" s="60" t="s">
        <v>21</v>
      </c>
      <c r="K827" s="60">
        <v>70000</v>
      </c>
    </row>
    <row r="828" spans="1:11" ht="30" customHeight="1" x14ac:dyDescent="0.25">
      <c r="A828" s="60">
        <v>827</v>
      </c>
      <c r="B828" s="159">
        <v>220962378</v>
      </c>
      <c r="C828" s="159" t="s">
        <v>1542</v>
      </c>
      <c r="D828" s="159">
        <v>8.74</v>
      </c>
      <c r="E828" s="159">
        <v>9082815607</v>
      </c>
      <c r="F828" s="159" t="s">
        <v>1543</v>
      </c>
      <c r="G828" s="159" t="s">
        <v>253</v>
      </c>
      <c r="H828" s="60" t="s">
        <v>53</v>
      </c>
      <c r="I828" s="60" t="s">
        <v>21</v>
      </c>
      <c r="K828" s="60">
        <v>70000</v>
      </c>
    </row>
    <row r="829" spans="1:11" ht="30" customHeight="1" x14ac:dyDescent="0.25">
      <c r="A829" s="60">
        <v>828</v>
      </c>
      <c r="B829" s="159">
        <v>220962032</v>
      </c>
      <c r="C829" s="159" t="s">
        <v>1110</v>
      </c>
      <c r="D829" s="159">
        <v>8.5</v>
      </c>
      <c r="E829" s="159">
        <v>9874013802</v>
      </c>
      <c r="F829" s="159" t="s">
        <v>1111</v>
      </c>
      <c r="G829" s="159" t="s">
        <v>253</v>
      </c>
      <c r="H829" s="60" t="s">
        <v>53</v>
      </c>
      <c r="I829" s="60" t="s">
        <v>21</v>
      </c>
      <c r="K829" s="60">
        <v>70000</v>
      </c>
    </row>
    <row r="830" spans="1:11" ht="30" customHeight="1" x14ac:dyDescent="0.25">
      <c r="A830" s="60">
        <v>829</v>
      </c>
      <c r="B830" s="159">
        <v>220962005</v>
      </c>
      <c r="C830" s="159" t="s">
        <v>1544</v>
      </c>
      <c r="D830" s="159">
        <v>7.87</v>
      </c>
      <c r="E830" s="159">
        <v>7428555449</v>
      </c>
      <c r="F830" s="159" t="s">
        <v>1545</v>
      </c>
      <c r="G830" s="159" t="s">
        <v>253</v>
      </c>
      <c r="H830" s="60" t="s">
        <v>53</v>
      </c>
      <c r="I830" s="60" t="s">
        <v>21</v>
      </c>
      <c r="K830" s="60">
        <v>70000</v>
      </c>
    </row>
    <row r="831" spans="1:11" ht="30" customHeight="1" x14ac:dyDescent="0.25">
      <c r="A831" s="60">
        <v>830</v>
      </c>
      <c r="B831" s="159">
        <v>220968390</v>
      </c>
      <c r="C831" s="159" t="s">
        <v>1546</v>
      </c>
      <c r="D831" s="159">
        <v>7.45</v>
      </c>
      <c r="E831" s="159">
        <v>6361061556</v>
      </c>
      <c r="F831" s="159" t="s">
        <v>1547</v>
      </c>
      <c r="G831" s="60" t="s">
        <v>384</v>
      </c>
      <c r="H831" s="60" t="s">
        <v>53</v>
      </c>
      <c r="I831" s="60" t="s">
        <v>21</v>
      </c>
      <c r="K831" s="60">
        <v>70000</v>
      </c>
    </row>
    <row r="832" spans="1:11" ht="30" customHeight="1" x14ac:dyDescent="0.25">
      <c r="A832" s="60">
        <v>831</v>
      </c>
      <c r="B832" s="159">
        <v>220911270</v>
      </c>
      <c r="C832" s="159" t="s">
        <v>1548</v>
      </c>
      <c r="D832" s="159">
        <v>7.99</v>
      </c>
      <c r="E832" s="159">
        <v>8291660498</v>
      </c>
      <c r="F832" s="159" t="s">
        <v>1549</v>
      </c>
      <c r="G832" s="60" t="s">
        <v>274</v>
      </c>
      <c r="H832" s="60" t="s">
        <v>53</v>
      </c>
      <c r="I832" s="60" t="s">
        <v>21</v>
      </c>
      <c r="K832" s="60">
        <v>70000</v>
      </c>
    </row>
    <row r="833" spans="1:11" ht="30" customHeight="1" x14ac:dyDescent="0.25">
      <c r="A833" s="60">
        <v>832</v>
      </c>
      <c r="B833" s="159">
        <v>220905466</v>
      </c>
      <c r="C833" s="159" t="s">
        <v>1272</v>
      </c>
      <c r="D833" s="159">
        <v>9.36</v>
      </c>
      <c r="E833" s="159">
        <v>6209772455</v>
      </c>
      <c r="F833" s="159" t="s">
        <v>1273</v>
      </c>
      <c r="G833" s="159" t="s">
        <v>256</v>
      </c>
      <c r="H833" s="60" t="s">
        <v>1550</v>
      </c>
      <c r="I833" s="60" t="s">
        <v>21</v>
      </c>
      <c r="K833" s="60">
        <v>40000</v>
      </c>
    </row>
    <row r="834" spans="1:11" ht="30" customHeight="1" x14ac:dyDescent="0.25">
      <c r="A834" s="60">
        <v>833</v>
      </c>
      <c r="B834" s="159">
        <v>220911476</v>
      </c>
      <c r="C834" s="159" t="s">
        <v>1292</v>
      </c>
      <c r="D834" s="159">
        <v>8.7899999999999991</v>
      </c>
      <c r="E834" s="159">
        <v>9311411866</v>
      </c>
      <c r="F834" s="159" t="s">
        <v>1293</v>
      </c>
      <c r="G834" s="159" t="s">
        <v>274</v>
      </c>
      <c r="H834" s="60" t="s">
        <v>1550</v>
      </c>
      <c r="I834" s="60" t="s">
        <v>21</v>
      </c>
      <c r="K834" s="60">
        <v>40000</v>
      </c>
    </row>
    <row r="835" spans="1:11" ht="30" customHeight="1" x14ac:dyDescent="0.25">
      <c r="A835" s="60">
        <v>834</v>
      </c>
      <c r="B835" s="159">
        <v>220962400</v>
      </c>
      <c r="C835" s="159" t="s">
        <v>1037</v>
      </c>
      <c r="D835" s="159">
        <v>9.1999999999999993</v>
      </c>
      <c r="E835" s="159">
        <v>9777674386</v>
      </c>
      <c r="F835" s="159" t="s">
        <v>1038</v>
      </c>
      <c r="G835" s="159" t="s">
        <v>253</v>
      </c>
      <c r="H835" s="60" t="s">
        <v>49</v>
      </c>
      <c r="I835" s="60" t="s">
        <v>21</v>
      </c>
      <c r="K835" s="60">
        <v>100000</v>
      </c>
    </row>
    <row r="836" spans="1:11" ht="30" customHeight="1" x14ac:dyDescent="0.25">
      <c r="A836" s="60">
        <v>835</v>
      </c>
      <c r="B836" s="159">
        <v>220962250</v>
      </c>
      <c r="C836" s="159" t="s">
        <v>765</v>
      </c>
      <c r="D836" s="159">
        <v>8.2799999999999994</v>
      </c>
      <c r="E836" s="159">
        <v>9868176557</v>
      </c>
      <c r="F836" s="159" t="s">
        <v>766</v>
      </c>
      <c r="G836" s="159" t="s">
        <v>253</v>
      </c>
      <c r="H836" s="60" t="s">
        <v>49</v>
      </c>
      <c r="I836" s="60" t="s">
        <v>21</v>
      </c>
      <c r="K836" s="60">
        <v>100000</v>
      </c>
    </row>
    <row r="837" spans="1:11" ht="30" customHeight="1" x14ac:dyDescent="0.25">
      <c r="A837" s="60">
        <v>836</v>
      </c>
      <c r="B837" s="159">
        <v>220968332</v>
      </c>
      <c r="C837" s="159" t="s">
        <v>1039</v>
      </c>
      <c r="D837" s="159">
        <v>8.43</v>
      </c>
      <c r="E837" s="159">
        <v>6307786763</v>
      </c>
      <c r="F837" s="159" t="s">
        <v>1040</v>
      </c>
      <c r="G837" s="159" t="s">
        <v>384</v>
      </c>
      <c r="H837" s="60" t="s">
        <v>49</v>
      </c>
      <c r="I837" s="60" t="s">
        <v>21</v>
      </c>
      <c r="K837" s="60">
        <v>100000</v>
      </c>
    </row>
    <row r="838" spans="1:11" ht="30" customHeight="1" x14ac:dyDescent="0.25">
      <c r="A838" s="60">
        <v>837</v>
      </c>
      <c r="B838" s="159">
        <v>220968164</v>
      </c>
      <c r="C838" s="159" t="s">
        <v>1041</v>
      </c>
      <c r="D838" s="159">
        <v>7.78</v>
      </c>
      <c r="E838" s="159">
        <v>8948941779</v>
      </c>
      <c r="F838" s="159" t="s">
        <v>1042</v>
      </c>
      <c r="G838" s="159" t="s">
        <v>384</v>
      </c>
      <c r="H838" s="60" t="s">
        <v>49</v>
      </c>
      <c r="I838" s="60" t="s">
        <v>21</v>
      </c>
      <c r="K838" s="60">
        <v>100000</v>
      </c>
    </row>
    <row r="839" spans="1:11" ht="30" customHeight="1" x14ac:dyDescent="0.25">
      <c r="A839" s="60">
        <v>838</v>
      </c>
      <c r="B839" s="159">
        <v>220907842</v>
      </c>
      <c r="C839" s="159" t="s">
        <v>1043</v>
      </c>
      <c r="D839" s="159">
        <v>7.66</v>
      </c>
      <c r="E839" s="159">
        <v>8971124477</v>
      </c>
      <c r="F839" s="159" t="s">
        <v>1044</v>
      </c>
      <c r="G839" s="159" t="s">
        <v>277</v>
      </c>
      <c r="H839" s="60" t="s">
        <v>49</v>
      </c>
      <c r="I839" s="60" t="s">
        <v>21</v>
      </c>
      <c r="K839" s="60">
        <v>100000</v>
      </c>
    </row>
    <row r="840" spans="1:11" ht="30" customHeight="1" x14ac:dyDescent="0.25">
      <c r="A840" s="60">
        <v>839</v>
      </c>
      <c r="B840" s="159">
        <v>220909150</v>
      </c>
      <c r="C840" s="159" t="s">
        <v>1045</v>
      </c>
      <c r="D840" s="159">
        <v>8.1</v>
      </c>
      <c r="E840" s="159">
        <v>6361697332</v>
      </c>
      <c r="F840" s="159" t="s">
        <v>1046</v>
      </c>
      <c r="G840" s="159" t="s">
        <v>312</v>
      </c>
      <c r="H840" s="60" t="s">
        <v>49</v>
      </c>
      <c r="I840" s="60" t="s">
        <v>21</v>
      </c>
      <c r="K840" s="60">
        <v>100000</v>
      </c>
    </row>
    <row r="841" spans="1:11" ht="30" customHeight="1" x14ac:dyDescent="0.25">
      <c r="A841" s="60">
        <v>840</v>
      </c>
      <c r="B841" s="60">
        <v>220911392</v>
      </c>
      <c r="C841" s="60" t="s">
        <v>343</v>
      </c>
      <c r="D841" s="60">
        <v>9.16</v>
      </c>
      <c r="E841" s="60">
        <v>9643566455</v>
      </c>
      <c r="F841" s="60" t="s">
        <v>344</v>
      </c>
      <c r="G841" s="60" t="s">
        <v>274</v>
      </c>
      <c r="H841" s="60" t="s">
        <v>62</v>
      </c>
      <c r="I841" s="60" t="s">
        <v>21</v>
      </c>
      <c r="K841" s="60">
        <v>90000</v>
      </c>
    </row>
    <row r="842" spans="1:11" ht="30" customHeight="1" x14ac:dyDescent="0.25">
      <c r="A842" s="60">
        <v>841</v>
      </c>
      <c r="B842" s="159">
        <v>220906492</v>
      </c>
      <c r="C842" s="159" t="s">
        <v>1551</v>
      </c>
      <c r="D842" s="159">
        <v>8.4600000000000009</v>
      </c>
      <c r="E842" s="159">
        <v>8617218255</v>
      </c>
      <c r="F842" s="159" t="s">
        <v>1552</v>
      </c>
      <c r="G842" s="159" t="s">
        <v>478</v>
      </c>
      <c r="H842" s="60" t="s">
        <v>1553</v>
      </c>
      <c r="I842" s="60" t="s">
        <v>21</v>
      </c>
      <c r="K842" s="60">
        <v>40000</v>
      </c>
    </row>
    <row r="843" spans="1:11" ht="30" customHeight="1" x14ac:dyDescent="0.25">
      <c r="A843" s="60">
        <v>842</v>
      </c>
      <c r="B843" s="159">
        <v>220906460</v>
      </c>
      <c r="C843" s="159" t="s">
        <v>1554</v>
      </c>
      <c r="D843" s="159">
        <v>7.81</v>
      </c>
      <c r="E843" s="159">
        <v>8291906456</v>
      </c>
      <c r="F843" s="159" t="s">
        <v>1555</v>
      </c>
      <c r="G843" s="159" t="s">
        <v>478</v>
      </c>
      <c r="H843" s="60" t="s">
        <v>1553</v>
      </c>
      <c r="I843" s="60" t="s">
        <v>21</v>
      </c>
      <c r="K843" s="60">
        <v>40000</v>
      </c>
    </row>
    <row r="844" spans="1:11" ht="30" customHeight="1" x14ac:dyDescent="0.25">
      <c r="A844" s="60">
        <v>843</v>
      </c>
      <c r="B844" s="159">
        <v>220906432</v>
      </c>
      <c r="C844" s="159" t="s">
        <v>1556</v>
      </c>
      <c r="D844" s="159">
        <v>7.46</v>
      </c>
      <c r="E844" s="159">
        <v>6388228034</v>
      </c>
      <c r="F844" s="159" t="s">
        <v>1557</v>
      </c>
      <c r="G844" s="159" t="s">
        <v>478</v>
      </c>
      <c r="H844" s="60" t="s">
        <v>1553</v>
      </c>
      <c r="I844" s="60" t="s">
        <v>21</v>
      </c>
      <c r="K844" s="60">
        <v>40000</v>
      </c>
    </row>
    <row r="845" spans="1:11" ht="30" customHeight="1" x14ac:dyDescent="0.25">
      <c r="A845" s="60">
        <v>844</v>
      </c>
      <c r="B845" s="159">
        <v>220906396</v>
      </c>
      <c r="C845" s="159" t="s">
        <v>1558</v>
      </c>
      <c r="D845" s="159">
        <v>7.07</v>
      </c>
      <c r="E845" s="159">
        <v>9423566082</v>
      </c>
      <c r="F845" s="159" t="s">
        <v>1559</v>
      </c>
      <c r="G845" s="159" t="s">
        <v>478</v>
      </c>
      <c r="H845" s="60" t="s">
        <v>1553</v>
      </c>
      <c r="I845" s="60" t="s">
        <v>21</v>
      </c>
      <c r="K845" s="60">
        <v>40000</v>
      </c>
    </row>
    <row r="846" spans="1:11" ht="30" customHeight="1" x14ac:dyDescent="0.25">
      <c r="A846" s="60">
        <v>845</v>
      </c>
      <c r="B846" s="159">
        <v>220907060</v>
      </c>
      <c r="C846" s="159" t="s">
        <v>1560</v>
      </c>
      <c r="D846" s="159">
        <v>9.16</v>
      </c>
      <c r="E846" s="159">
        <v>9908354466</v>
      </c>
      <c r="F846" s="159" t="s">
        <v>1561</v>
      </c>
      <c r="G846" s="159" t="s">
        <v>277</v>
      </c>
      <c r="H846" s="60" t="s">
        <v>1553</v>
      </c>
      <c r="I846" s="60" t="s">
        <v>21</v>
      </c>
      <c r="K846" s="60">
        <v>40000</v>
      </c>
    </row>
    <row r="847" spans="1:11" ht="30" customHeight="1" x14ac:dyDescent="0.25">
      <c r="A847" s="60">
        <v>846</v>
      </c>
      <c r="B847" s="159">
        <v>220907648</v>
      </c>
      <c r="C847" s="159" t="s">
        <v>1562</v>
      </c>
      <c r="D847" s="159">
        <v>7.6</v>
      </c>
      <c r="E847" s="159">
        <v>9956140190</v>
      </c>
      <c r="F847" s="159" t="s">
        <v>1563</v>
      </c>
      <c r="G847" s="159" t="s">
        <v>277</v>
      </c>
      <c r="H847" s="60" t="s">
        <v>1553</v>
      </c>
      <c r="I847" s="60" t="s">
        <v>21</v>
      </c>
      <c r="K847" s="60">
        <v>40000</v>
      </c>
    </row>
    <row r="848" spans="1:11" ht="30" customHeight="1" x14ac:dyDescent="0.25">
      <c r="A848" s="60">
        <v>847</v>
      </c>
      <c r="B848" s="159">
        <v>220907836</v>
      </c>
      <c r="C848" s="159" t="s">
        <v>1564</v>
      </c>
      <c r="D848" s="159">
        <v>7.58</v>
      </c>
      <c r="E848" s="159">
        <v>8210922678</v>
      </c>
      <c r="F848" s="159" t="s">
        <v>1565</v>
      </c>
      <c r="G848" s="159" t="s">
        <v>277</v>
      </c>
      <c r="H848" s="60" t="s">
        <v>1553</v>
      </c>
      <c r="I848" s="60" t="s">
        <v>21</v>
      </c>
      <c r="K848" s="60">
        <v>40000</v>
      </c>
    </row>
    <row r="849" spans="1:11" ht="30" customHeight="1" x14ac:dyDescent="0.25">
      <c r="A849" s="60">
        <v>848</v>
      </c>
      <c r="B849" s="159">
        <v>220907482</v>
      </c>
      <c r="C849" s="159" t="s">
        <v>1566</v>
      </c>
      <c r="D849" s="159">
        <v>7.14</v>
      </c>
      <c r="E849" s="159">
        <v>6366250844</v>
      </c>
      <c r="F849" s="159" t="s">
        <v>1567</v>
      </c>
      <c r="G849" s="159" t="s">
        <v>277</v>
      </c>
      <c r="H849" s="60" t="s">
        <v>1553</v>
      </c>
      <c r="I849" s="60" t="s">
        <v>21</v>
      </c>
      <c r="K849" s="60">
        <v>40000</v>
      </c>
    </row>
    <row r="850" spans="1:11" ht="30" customHeight="1" x14ac:dyDescent="0.25">
      <c r="A850" s="60">
        <v>849</v>
      </c>
      <c r="B850" s="159">
        <v>220932116</v>
      </c>
      <c r="C850" s="159" t="s">
        <v>1568</v>
      </c>
      <c r="D850" s="159">
        <v>7.59</v>
      </c>
      <c r="E850" s="159">
        <v>8260168208</v>
      </c>
      <c r="F850" s="159" t="s">
        <v>1569</v>
      </c>
      <c r="G850" s="159" t="s">
        <v>289</v>
      </c>
      <c r="H850" s="60" t="s">
        <v>1553</v>
      </c>
      <c r="I850" s="60" t="s">
        <v>21</v>
      </c>
      <c r="K850" s="60">
        <v>40000</v>
      </c>
    </row>
    <row r="851" spans="1:11" ht="30" customHeight="1" x14ac:dyDescent="0.25">
      <c r="A851" s="60">
        <v>850</v>
      </c>
      <c r="B851" s="159">
        <v>220932120</v>
      </c>
      <c r="C851" s="159" t="s">
        <v>1570</v>
      </c>
      <c r="D851" s="159">
        <v>6.92</v>
      </c>
      <c r="E851" s="159">
        <v>9205178790</v>
      </c>
      <c r="F851" s="159" t="s">
        <v>1571</v>
      </c>
      <c r="G851" s="159" t="s">
        <v>289</v>
      </c>
      <c r="H851" s="60" t="s">
        <v>1553</v>
      </c>
      <c r="I851" s="60" t="s">
        <v>21</v>
      </c>
      <c r="K851" s="60">
        <v>40000</v>
      </c>
    </row>
    <row r="852" spans="1:11" ht="30" customHeight="1" x14ac:dyDescent="0.25">
      <c r="A852" s="60">
        <v>851</v>
      </c>
      <c r="B852" s="159">
        <v>220968380</v>
      </c>
      <c r="C852" s="159" t="s">
        <v>391</v>
      </c>
      <c r="D852" s="159">
        <v>9.09</v>
      </c>
      <c r="E852" s="159">
        <v>6201800952</v>
      </c>
      <c r="F852" s="159" t="s">
        <v>392</v>
      </c>
      <c r="G852" s="159" t="s">
        <v>384</v>
      </c>
      <c r="H852" s="60" t="s">
        <v>67</v>
      </c>
      <c r="I852" s="60" t="s">
        <v>21</v>
      </c>
      <c r="K852" s="161">
        <v>30000</v>
      </c>
    </row>
    <row r="853" spans="1:11" ht="30" customHeight="1" x14ac:dyDescent="0.25">
      <c r="A853" s="60">
        <v>852</v>
      </c>
      <c r="B853" s="159">
        <v>220905145</v>
      </c>
      <c r="C853" s="159" t="s">
        <v>1572</v>
      </c>
      <c r="D853" s="159">
        <v>8.11</v>
      </c>
      <c r="E853" s="159">
        <v>9686320308</v>
      </c>
      <c r="F853" s="159" t="s">
        <v>1573</v>
      </c>
      <c r="G853" s="159" t="s">
        <v>256</v>
      </c>
      <c r="H853" s="60" t="s">
        <v>68</v>
      </c>
      <c r="I853" s="60" t="s">
        <v>21</v>
      </c>
      <c r="K853" s="161">
        <v>60000</v>
      </c>
    </row>
    <row r="854" spans="1:11" ht="30" customHeight="1" x14ac:dyDescent="0.25">
      <c r="A854" s="60">
        <v>853</v>
      </c>
      <c r="B854" s="159">
        <v>220902007</v>
      </c>
      <c r="C854" s="159" t="s">
        <v>1574</v>
      </c>
      <c r="D854" s="159">
        <v>7.74</v>
      </c>
      <c r="E854" s="159">
        <v>9154402167</v>
      </c>
      <c r="F854" s="159" t="s">
        <v>1575</v>
      </c>
      <c r="G854" s="159" t="s">
        <v>1388</v>
      </c>
      <c r="H854" s="60" t="s">
        <v>69</v>
      </c>
      <c r="I854" s="60" t="s">
        <v>21</v>
      </c>
      <c r="K854" s="161">
        <v>40000</v>
      </c>
    </row>
    <row r="855" spans="1:11" ht="30" customHeight="1" x14ac:dyDescent="0.25">
      <c r="A855" s="60">
        <v>854</v>
      </c>
      <c r="B855" s="159">
        <v>220924056</v>
      </c>
      <c r="C855" s="159" t="s">
        <v>1576</v>
      </c>
      <c r="D855" s="159">
        <v>8.6</v>
      </c>
      <c r="E855" s="159">
        <v>7259693604</v>
      </c>
      <c r="F855" s="159" t="s">
        <v>1577</v>
      </c>
      <c r="G855" s="159" t="s">
        <v>964</v>
      </c>
      <c r="H855" s="60" t="s">
        <v>69</v>
      </c>
      <c r="I855" s="60" t="s">
        <v>21</v>
      </c>
      <c r="K855" s="161">
        <v>40000</v>
      </c>
    </row>
    <row r="856" spans="1:11" ht="30" customHeight="1" x14ac:dyDescent="0.25">
      <c r="A856" s="60">
        <v>855</v>
      </c>
      <c r="B856" s="159">
        <v>220903084</v>
      </c>
      <c r="C856" s="159" t="s">
        <v>1578</v>
      </c>
      <c r="D856" s="159">
        <v>7.62</v>
      </c>
      <c r="E856" s="159">
        <v>8826253562</v>
      </c>
      <c r="F856" s="159" t="s">
        <v>1579</v>
      </c>
      <c r="G856" s="159" t="s">
        <v>286</v>
      </c>
      <c r="H856" s="60" t="s">
        <v>69</v>
      </c>
      <c r="I856" s="60" t="s">
        <v>21</v>
      </c>
      <c r="K856" s="161">
        <v>40000</v>
      </c>
    </row>
    <row r="857" spans="1:11" ht="30" customHeight="1" x14ac:dyDescent="0.25">
      <c r="A857" s="60">
        <v>856</v>
      </c>
      <c r="B857" s="159">
        <v>220906304</v>
      </c>
      <c r="C857" s="159" t="s">
        <v>1580</v>
      </c>
      <c r="D857" s="159">
        <v>6.5</v>
      </c>
      <c r="E857" s="159">
        <v>7016731372</v>
      </c>
      <c r="F857" s="159" t="s">
        <v>1581</v>
      </c>
      <c r="G857" s="159" t="s">
        <v>478</v>
      </c>
      <c r="H857" s="60" t="s">
        <v>69</v>
      </c>
      <c r="I857" s="60" t="s">
        <v>21</v>
      </c>
      <c r="K857" s="161">
        <v>40000</v>
      </c>
    </row>
    <row r="858" spans="1:11" ht="30" customHeight="1" x14ac:dyDescent="0.25">
      <c r="A858" s="60">
        <v>857</v>
      </c>
      <c r="B858" s="159">
        <v>220907758</v>
      </c>
      <c r="C858" s="159" t="s">
        <v>1582</v>
      </c>
      <c r="D858" s="159">
        <v>6.07</v>
      </c>
      <c r="E858" s="159">
        <v>7760084339</v>
      </c>
      <c r="F858" s="159" t="s">
        <v>1583</v>
      </c>
      <c r="G858" s="159" t="s">
        <v>277</v>
      </c>
      <c r="H858" s="60" t="s">
        <v>69</v>
      </c>
      <c r="I858" s="60" t="s">
        <v>21</v>
      </c>
      <c r="K858" s="161">
        <v>40000</v>
      </c>
    </row>
    <row r="859" spans="1:11" ht="30" customHeight="1" x14ac:dyDescent="0.25">
      <c r="A859" s="60">
        <v>858</v>
      </c>
      <c r="B859" s="159">
        <v>220909388</v>
      </c>
      <c r="C859" s="159" t="s">
        <v>1584</v>
      </c>
      <c r="D859" s="159">
        <v>8.9</v>
      </c>
      <c r="E859" s="159">
        <v>8830691247</v>
      </c>
      <c r="F859" s="159" t="s">
        <v>1585</v>
      </c>
      <c r="G859" s="159" t="s">
        <v>312</v>
      </c>
      <c r="H859" s="60" t="s">
        <v>69</v>
      </c>
      <c r="I859" s="60" t="s">
        <v>21</v>
      </c>
      <c r="K859" s="161">
        <v>40000</v>
      </c>
    </row>
    <row r="860" spans="1:11" ht="30" customHeight="1" x14ac:dyDescent="0.25">
      <c r="A860" s="60">
        <v>859</v>
      </c>
      <c r="B860" s="159">
        <v>220909174</v>
      </c>
      <c r="C860" s="159" t="s">
        <v>1586</v>
      </c>
      <c r="D860" s="159">
        <v>7.16</v>
      </c>
      <c r="E860" s="159">
        <v>9974912952</v>
      </c>
      <c r="F860" s="159" t="s">
        <v>1587</v>
      </c>
      <c r="G860" s="159" t="s">
        <v>312</v>
      </c>
      <c r="H860" s="60" t="s">
        <v>69</v>
      </c>
      <c r="I860" s="60" t="s">
        <v>21</v>
      </c>
      <c r="K860" s="161">
        <v>40000</v>
      </c>
    </row>
    <row r="861" spans="1:11" ht="30" customHeight="1" x14ac:dyDescent="0.25">
      <c r="A861" s="60">
        <v>860</v>
      </c>
      <c r="B861" s="159">
        <v>220905257</v>
      </c>
      <c r="C861" s="159" t="s">
        <v>1588</v>
      </c>
      <c r="D861" s="159">
        <v>9.6</v>
      </c>
      <c r="E861" s="159">
        <v>9611266988</v>
      </c>
      <c r="F861" s="159" t="s">
        <v>1589</v>
      </c>
      <c r="G861" s="159" t="s">
        <v>256</v>
      </c>
      <c r="H861" s="60" t="s">
        <v>75</v>
      </c>
      <c r="I861" s="60" t="s">
        <v>21</v>
      </c>
      <c r="K861" s="161">
        <v>80000</v>
      </c>
    </row>
    <row r="862" spans="1:11" ht="30" customHeight="1" x14ac:dyDescent="0.25">
      <c r="A862" s="60">
        <v>861</v>
      </c>
      <c r="B862" s="159">
        <v>220909094</v>
      </c>
      <c r="C862" s="159" t="s">
        <v>1590</v>
      </c>
      <c r="D862" s="160">
        <v>7.46</v>
      </c>
      <c r="E862" s="159">
        <v>9176040154</v>
      </c>
      <c r="F862" s="159" t="s">
        <v>1591</v>
      </c>
      <c r="G862" s="159" t="s">
        <v>312</v>
      </c>
      <c r="H862" s="60" t="s">
        <v>89</v>
      </c>
      <c r="I862" s="60" t="s">
        <v>21</v>
      </c>
      <c r="K862" s="161">
        <v>25000</v>
      </c>
    </row>
    <row r="863" spans="1:11" ht="30" customHeight="1" x14ac:dyDescent="0.25">
      <c r="A863" s="60">
        <v>862</v>
      </c>
      <c r="B863" s="159">
        <v>220905370</v>
      </c>
      <c r="C863" s="159" t="s">
        <v>1592</v>
      </c>
      <c r="D863" s="160">
        <v>7.73</v>
      </c>
      <c r="E863" s="159">
        <v>8584070725</v>
      </c>
      <c r="F863" s="159" t="s">
        <v>1593</v>
      </c>
      <c r="G863" s="159" t="s">
        <v>256</v>
      </c>
      <c r="H863" s="60" t="s">
        <v>1594</v>
      </c>
      <c r="I863" s="60" t="s">
        <v>21</v>
      </c>
      <c r="K863" s="161">
        <v>125000</v>
      </c>
    </row>
    <row r="864" spans="1:11" ht="30" customHeight="1" x14ac:dyDescent="0.25">
      <c r="A864" s="60">
        <v>863</v>
      </c>
      <c r="B864" s="159">
        <v>220953450</v>
      </c>
      <c r="C864" s="159" t="s">
        <v>1595</v>
      </c>
      <c r="D864" s="160">
        <v>7.98</v>
      </c>
      <c r="E864" s="159">
        <v>9999137018</v>
      </c>
      <c r="F864" s="159" t="s">
        <v>1596</v>
      </c>
      <c r="G864" s="159" t="s">
        <v>261</v>
      </c>
      <c r="H864" s="60" t="s">
        <v>1594</v>
      </c>
      <c r="I864" s="60" t="s">
        <v>21</v>
      </c>
      <c r="K864" s="161">
        <v>125000</v>
      </c>
    </row>
    <row r="865" spans="1:11" ht="30" customHeight="1" x14ac:dyDescent="0.25">
      <c r="A865" s="60">
        <v>864</v>
      </c>
      <c r="B865" s="159">
        <v>220902142</v>
      </c>
      <c r="C865" s="159" t="s">
        <v>1597</v>
      </c>
      <c r="D865" s="160">
        <v>6.5</v>
      </c>
      <c r="E865" s="159">
        <v>8920441329</v>
      </c>
      <c r="F865" s="159" t="s">
        <v>1598</v>
      </c>
      <c r="G865" s="159" t="s">
        <v>1388</v>
      </c>
      <c r="H865" s="60" t="s">
        <v>80</v>
      </c>
      <c r="I865" s="60" t="s">
        <v>21</v>
      </c>
      <c r="K865" s="161">
        <v>25000</v>
      </c>
    </row>
    <row r="866" spans="1:11" ht="30" customHeight="1" x14ac:dyDescent="0.25">
      <c r="A866" s="60">
        <v>865</v>
      </c>
      <c r="B866" s="159">
        <v>220929126</v>
      </c>
      <c r="C866" s="159" t="s">
        <v>1599</v>
      </c>
      <c r="D866" s="160">
        <v>8.5500000000000007</v>
      </c>
      <c r="E866" s="159">
        <v>7259595751</v>
      </c>
      <c r="F866" s="159" t="s">
        <v>1600</v>
      </c>
      <c r="G866" s="159" t="s">
        <v>317</v>
      </c>
      <c r="H866" s="60" t="s">
        <v>80</v>
      </c>
      <c r="I866" s="60" t="s">
        <v>21</v>
      </c>
      <c r="K866" s="161">
        <v>25000</v>
      </c>
    </row>
    <row r="867" spans="1:11" ht="30" customHeight="1" x14ac:dyDescent="0.25">
      <c r="A867" s="60">
        <v>866</v>
      </c>
      <c r="B867" s="159">
        <v>220902046</v>
      </c>
      <c r="C867" s="159" t="s">
        <v>1601</v>
      </c>
      <c r="D867" s="160">
        <v>8.36</v>
      </c>
      <c r="E867" s="159">
        <v>9061231398</v>
      </c>
      <c r="F867" s="159" t="s">
        <v>1602</v>
      </c>
      <c r="G867" s="159" t="s">
        <v>1388</v>
      </c>
      <c r="H867" s="60" t="s">
        <v>82</v>
      </c>
      <c r="I867" s="60" t="s">
        <v>21</v>
      </c>
      <c r="K867" s="161">
        <v>45000</v>
      </c>
    </row>
    <row r="868" spans="1:11" ht="30" customHeight="1" x14ac:dyDescent="0.25">
      <c r="A868" s="60">
        <v>867</v>
      </c>
      <c r="B868" s="159">
        <v>220962063</v>
      </c>
      <c r="C868" s="159" t="s">
        <v>1603</v>
      </c>
      <c r="D868" s="160">
        <v>7.74</v>
      </c>
      <c r="E868" s="159">
        <v>9108659053</v>
      </c>
      <c r="F868" s="159" t="s">
        <v>1604</v>
      </c>
      <c r="G868" s="159" t="s">
        <v>253</v>
      </c>
      <c r="H868" s="60" t="s">
        <v>85</v>
      </c>
      <c r="I868" s="60" t="s">
        <v>21</v>
      </c>
      <c r="K868" s="161">
        <v>45000</v>
      </c>
    </row>
    <row r="869" spans="1:11" ht="30" customHeight="1" x14ac:dyDescent="0.25">
      <c r="A869" s="60">
        <v>868</v>
      </c>
      <c r="B869" s="159">
        <v>220962408</v>
      </c>
      <c r="C869" s="159" t="s">
        <v>525</v>
      </c>
      <c r="D869" s="160">
        <v>8.3000000000000007</v>
      </c>
      <c r="E869" s="159">
        <v>6351761145</v>
      </c>
      <c r="F869" s="159" t="s">
        <v>1605</v>
      </c>
      <c r="G869" s="159" t="s">
        <v>253</v>
      </c>
      <c r="H869" s="60" t="s">
        <v>96</v>
      </c>
      <c r="I869" s="60" t="s">
        <v>21</v>
      </c>
      <c r="K869" s="161">
        <v>45000</v>
      </c>
    </row>
    <row r="870" spans="1:11" ht="30" customHeight="1" x14ac:dyDescent="0.25">
      <c r="A870" s="60">
        <v>869</v>
      </c>
      <c r="B870" s="159">
        <v>220953276</v>
      </c>
      <c r="C870" s="159" t="s">
        <v>1606</v>
      </c>
      <c r="D870" s="160">
        <v>9.1199999999999992</v>
      </c>
      <c r="E870" s="159">
        <v>9140505210</v>
      </c>
      <c r="F870" s="159" t="s">
        <v>1607</v>
      </c>
      <c r="G870" s="159" t="s">
        <v>261</v>
      </c>
      <c r="H870" s="60" t="s">
        <v>97</v>
      </c>
      <c r="I870" s="60" t="s">
        <v>21</v>
      </c>
      <c r="K870" s="161">
        <v>35000</v>
      </c>
    </row>
    <row r="871" spans="1:11" ht="30" customHeight="1" x14ac:dyDescent="0.25">
      <c r="A871" s="60">
        <v>870</v>
      </c>
      <c r="B871" s="159">
        <v>220968310</v>
      </c>
      <c r="C871" s="159" t="s">
        <v>1608</v>
      </c>
      <c r="D871" s="160">
        <v>8.98</v>
      </c>
      <c r="E871" s="159">
        <v>9666692261</v>
      </c>
      <c r="F871" s="159" t="s">
        <v>1609</v>
      </c>
      <c r="G871" s="159" t="s">
        <v>384</v>
      </c>
      <c r="H871" s="60" t="s">
        <v>97</v>
      </c>
      <c r="I871" s="60" t="s">
        <v>21</v>
      </c>
      <c r="K871" s="161">
        <v>35000</v>
      </c>
    </row>
    <row r="872" spans="1:11" ht="30" customHeight="1" x14ac:dyDescent="0.25">
      <c r="A872" s="60">
        <v>871</v>
      </c>
      <c r="B872" s="159">
        <v>220968396</v>
      </c>
      <c r="C872" s="159" t="s">
        <v>1610</v>
      </c>
      <c r="D872" s="160">
        <v>7.63</v>
      </c>
      <c r="E872" s="159">
        <v>9334819388</v>
      </c>
      <c r="F872" s="159" t="s">
        <v>1611</v>
      </c>
      <c r="G872" s="159" t="s">
        <v>384</v>
      </c>
      <c r="H872" s="60" t="s">
        <v>97</v>
      </c>
      <c r="I872" s="60" t="s">
        <v>21</v>
      </c>
      <c r="K872" s="161">
        <v>35000</v>
      </c>
    </row>
    <row r="873" spans="1:11" ht="30" customHeight="1" x14ac:dyDescent="0.25">
      <c r="A873" s="60">
        <v>872</v>
      </c>
      <c r="B873" s="60">
        <v>220953508</v>
      </c>
      <c r="C873" s="159" t="s">
        <v>1212</v>
      </c>
      <c r="D873" s="60">
        <v>8.31</v>
      </c>
      <c r="E873" s="60">
        <v>8127755250</v>
      </c>
      <c r="F873" s="60" t="s">
        <v>1213</v>
      </c>
      <c r="G873" s="159" t="s">
        <v>261</v>
      </c>
      <c r="H873" s="60" t="s">
        <v>107</v>
      </c>
      <c r="I873" s="60" t="s">
        <v>21</v>
      </c>
      <c r="K873" s="161">
        <v>50000</v>
      </c>
    </row>
    <row r="874" spans="1:11" ht="30" customHeight="1" x14ac:dyDescent="0.25">
      <c r="A874" s="60">
        <v>873</v>
      </c>
      <c r="B874" s="60">
        <v>220962334</v>
      </c>
      <c r="C874" s="159" t="s">
        <v>1612</v>
      </c>
      <c r="D874" s="60">
        <v>8.14</v>
      </c>
      <c r="E874" s="60">
        <v>9136959546</v>
      </c>
      <c r="F874" s="60" t="s">
        <v>1613</v>
      </c>
      <c r="G874" s="60" t="s">
        <v>253</v>
      </c>
      <c r="H874" s="60" t="s">
        <v>107</v>
      </c>
      <c r="I874" s="60" t="s">
        <v>21</v>
      </c>
      <c r="K874" s="161">
        <v>50000</v>
      </c>
    </row>
    <row r="875" spans="1:11" ht="30" customHeight="1" x14ac:dyDescent="0.25">
      <c r="A875" s="60">
        <v>874</v>
      </c>
      <c r="B875" s="60">
        <v>220961044</v>
      </c>
      <c r="C875" s="159" t="s">
        <v>1614</v>
      </c>
      <c r="D875" s="60">
        <v>8.86</v>
      </c>
      <c r="E875" s="60">
        <v>7697081114</v>
      </c>
      <c r="F875" s="60" t="s">
        <v>1615</v>
      </c>
      <c r="G875" s="60" t="s">
        <v>541</v>
      </c>
      <c r="H875" s="60" t="s">
        <v>107</v>
      </c>
      <c r="I875" s="60" t="s">
        <v>21</v>
      </c>
      <c r="K875" s="161">
        <v>50000</v>
      </c>
    </row>
    <row r="876" spans="1:11" ht="30" customHeight="1" x14ac:dyDescent="0.25">
      <c r="A876" s="60">
        <v>875</v>
      </c>
      <c r="B876" s="60">
        <v>220961150</v>
      </c>
      <c r="C876" s="159" t="s">
        <v>1616</v>
      </c>
      <c r="D876" s="60">
        <v>7.86</v>
      </c>
      <c r="E876" s="60">
        <v>9871130861</v>
      </c>
      <c r="F876" s="60" t="s">
        <v>1617</v>
      </c>
      <c r="G876" s="60" t="s">
        <v>541</v>
      </c>
      <c r="H876" s="60" t="s">
        <v>107</v>
      </c>
      <c r="I876" s="60" t="s">
        <v>21</v>
      </c>
      <c r="K876" s="161">
        <v>50000</v>
      </c>
    </row>
    <row r="877" spans="1:11" ht="30" customHeight="1" x14ac:dyDescent="0.25">
      <c r="A877" s="60">
        <v>876</v>
      </c>
      <c r="B877" s="60">
        <v>220905352</v>
      </c>
      <c r="C877" s="60" t="s">
        <v>1618</v>
      </c>
      <c r="D877" s="60">
        <v>9.34</v>
      </c>
      <c r="E877" s="60">
        <v>9607622004</v>
      </c>
      <c r="F877" s="60" t="s">
        <v>1619</v>
      </c>
      <c r="G877" s="60" t="s">
        <v>256</v>
      </c>
      <c r="H877" s="60" t="s">
        <v>68</v>
      </c>
      <c r="I877" s="60" t="s">
        <v>21</v>
      </c>
      <c r="K877" s="161">
        <v>60000</v>
      </c>
    </row>
    <row r="878" spans="1:11" ht="30" customHeight="1" x14ac:dyDescent="0.25">
      <c r="A878" s="60">
        <v>877</v>
      </c>
      <c r="B878" s="60">
        <v>220905472</v>
      </c>
      <c r="C878" s="60" t="s">
        <v>1620</v>
      </c>
      <c r="D878" s="160">
        <v>7.79</v>
      </c>
      <c r="E878" s="60">
        <v>7201011251</v>
      </c>
      <c r="F878" s="60" t="s">
        <v>1621</v>
      </c>
      <c r="G878" s="60" t="s">
        <v>256</v>
      </c>
      <c r="H878" s="60" t="s">
        <v>68</v>
      </c>
      <c r="I878" s="60" t="s">
        <v>21</v>
      </c>
      <c r="K878" s="161">
        <v>60000</v>
      </c>
    </row>
    <row r="879" spans="1:11" ht="30" customHeight="1" x14ac:dyDescent="0.25">
      <c r="A879" s="60">
        <v>878</v>
      </c>
      <c r="B879" s="60">
        <v>220962003</v>
      </c>
      <c r="C879" s="60" t="s">
        <v>1622</v>
      </c>
      <c r="D879" s="160">
        <v>9.56</v>
      </c>
      <c r="E879" s="60">
        <v>8800584175</v>
      </c>
      <c r="F879" s="60" t="s">
        <v>1623</v>
      </c>
      <c r="G879" s="60" t="s">
        <v>253</v>
      </c>
      <c r="H879" s="60" t="s">
        <v>68</v>
      </c>
      <c r="I879" s="60" t="s">
        <v>21</v>
      </c>
      <c r="K879" s="161">
        <v>60000</v>
      </c>
    </row>
    <row r="880" spans="1:11" ht="30" customHeight="1" x14ac:dyDescent="0.25">
      <c r="A880" s="60">
        <v>879</v>
      </c>
      <c r="B880" s="60">
        <v>220962340</v>
      </c>
      <c r="C880" s="60" t="s">
        <v>1624</v>
      </c>
      <c r="D880" s="160">
        <v>9.1999999999999993</v>
      </c>
      <c r="E880" s="60">
        <v>8329138304</v>
      </c>
      <c r="F880" s="60" t="s">
        <v>1625</v>
      </c>
      <c r="G880" s="60" t="s">
        <v>253</v>
      </c>
      <c r="H880" s="60" t="s">
        <v>68</v>
      </c>
      <c r="I880" s="60" t="s">
        <v>21</v>
      </c>
      <c r="K880" s="161">
        <v>60000</v>
      </c>
    </row>
    <row r="881" spans="1:11" ht="30" customHeight="1" x14ac:dyDescent="0.25">
      <c r="A881" s="60">
        <v>880</v>
      </c>
      <c r="B881" s="60">
        <v>220962214</v>
      </c>
      <c r="C881" s="60" t="s">
        <v>1626</v>
      </c>
      <c r="D881" s="160">
        <v>8.8000000000000007</v>
      </c>
      <c r="E881" s="60">
        <v>9131912701</v>
      </c>
      <c r="F881" s="60" t="s">
        <v>1627</v>
      </c>
      <c r="G881" s="60" t="s">
        <v>253</v>
      </c>
      <c r="H881" s="60" t="s">
        <v>68</v>
      </c>
      <c r="I881" s="60" t="s">
        <v>21</v>
      </c>
      <c r="K881" s="161">
        <v>60000</v>
      </c>
    </row>
    <row r="882" spans="1:11" ht="30" customHeight="1" x14ac:dyDescent="0.25">
      <c r="A882" s="60">
        <v>881</v>
      </c>
      <c r="B882" s="60">
        <v>220953028</v>
      </c>
      <c r="C882" s="60" t="s">
        <v>1628</v>
      </c>
      <c r="D882" s="60">
        <v>8.06</v>
      </c>
      <c r="E882" s="60">
        <v>9708777568</v>
      </c>
      <c r="F882" s="60" t="s">
        <v>1629</v>
      </c>
      <c r="G882" s="60" t="s">
        <v>261</v>
      </c>
      <c r="H882" s="60" t="s">
        <v>115</v>
      </c>
      <c r="I882" s="60" t="s">
        <v>21</v>
      </c>
      <c r="K882" s="161">
        <v>50000</v>
      </c>
    </row>
    <row r="883" spans="1:11" ht="30" customHeight="1" x14ac:dyDescent="0.25">
      <c r="A883" s="60">
        <v>882</v>
      </c>
      <c r="B883" s="60">
        <v>220905368</v>
      </c>
      <c r="C883" s="60" t="s">
        <v>1630</v>
      </c>
      <c r="D883" s="60">
        <v>9.51</v>
      </c>
      <c r="E883" s="60">
        <v>8080509527</v>
      </c>
      <c r="F883" s="60" t="s">
        <v>1631</v>
      </c>
      <c r="G883" s="60" t="s">
        <v>256</v>
      </c>
      <c r="H883" s="60" t="s">
        <v>115</v>
      </c>
      <c r="I883" s="60" t="s">
        <v>21</v>
      </c>
      <c r="K883" s="161">
        <v>50000</v>
      </c>
    </row>
    <row r="884" spans="1:11" ht="30" customHeight="1" x14ac:dyDescent="0.25">
      <c r="A884" s="60">
        <v>883</v>
      </c>
      <c r="B884" s="60">
        <v>220905130</v>
      </c>
      <c r="C884" s="60" t="s">
        <v>1632</v>
      </c>
      <c r="D884" s="60">
        <v>8.07</v>
      </c>
      <c r="E884" s="60">
        <v>9205459808</v>
      </c>
      <c r="F884" s="60" t="s">
        <v>1633</v>
      </c>
      <c r="G884" s="60" t="s">
        <v>256</v>
      </c>
      <c r="H884" s="60" t="s">
        <v>115</v>
      </c>
      <c r="I884" s="60" t="s">
        <v>21</v>
      </c>
      <c r="K884" s="161">
        <v>50000</v>
      </c>
    </row>
    <row r="885" spans="1:11" ht="30" customHeight="1" x14ac:dyDescent="0.25">
      <c r="A885" s="60">
        <v>884</v>
      </c>
      <c r="B885" s="60">
        <v>220905118</v>
      </c>
      <c r="C885" s="60" t="s">
        <v>1276</v>
      </c>
      <c r="D885" s="60">
        <v>8.06</v>
      </c>
      <c r="E885" s="60">
        <v>6901870725</v>
      </c>
      <c r="F885" s="60" t="s">
        <v>1277</v>
      </c>
      <c r="G885" s="60" t="s">
        <v>256</v>
      </c>
      <c r="H885" s="60" t="s">
        <v>115</v>
      </c>
      <c r="I885" s="60" t="s">
        <v>21</v>
      </c>
      <c r="K885" s="161">
        <v>50000</v>
      </c>
    </row>
    <row r="886" spans="1:11" ht="30" customHeight="1" x14ac:dyDescent="0.25">
      <c r="A886" s="60">
        <v>885</v>
      </c>
      <c r="B886" s="60">
        <v>220968015</v>
      </c>
      <c r="C886" s="60" t="s">
        <v>1114</v>
      </c>
      <c r="D886" s="60">
        <v>8.39</v>
      </c>
      <c r="E886" s="60">
        <v>9819742018</v>
      </c>
      <c r="F886" s="60" t="s">
        <v>1115</v>
      </c>
      <c r="G886" s="60" t="s">
        <v>384</v>
      </c>
      <c r="H886" s="60" t="s">
        <v>115</v>
      </c>
      <c r="I886" s="60" t="s">
        <v>21</v>
      </c>
      <c r="K886" s="161">
        <v>50000</v>
      </c>
    </row>
    <row r="887" spans="1:11" ht="30" customHeight="1" x14ac:dyDescent="0.25">
      <c r="A887" s="60">
        <v>886</v>
      </c>
      <c r="B887" s="60">
        <v>220911051</v>
      </c>
      <c r="C887" s="60" t="s">
        <v>1634</v>
      </c>
      <c r="D887" s="60">
        <v>7.83</v>
      </c>
      <c r="E887" s="60">
        <v>9032513736</v>
      </c>
      <c r="F887" s="60" t="s">
        <v>756</v>
      </c>
      <c r="G887" s="60" t="s">
        <v>274</v>
      </c>
      <c r="H887" s="60" t="s">
        <v>115</v>
      </c>
      <c r="I887" s="60" t="s">
        <v>21</v>
      </c>
      <c r="K887" s="161">
        <v>50000</v>
      </c>
    </row>
    <row r="888" spans="1:11" ht="30" customHeight="1" x14ac:dyDescent="0.25">
      <c r="A888" s="60">
        <v>887</v>
      </c>
      <c r="B888" s="159">
        <v>220953136</v>
      </c>
      <c r="C888" s="159" t="s">
        <v>925</v>
      </c>
      <c r="D888" s="160">
        <v>8.41</v>
      </c>
      <c r="E888" s="159">
        <v>7093166199</v>
      </c>
      <c r="F888" s="159" t="s">
        <v>926</v>
      </c>
      <c r="G888" s="159" t="s">
        <v>261</v>
      </c>
      <c r="H888" s="60" t="s">
        <v>115</v>
      </c>
      <c r="I888" s="60" t="s">
        <v>21</v>
      </c>
      <c r="K888" s="161">
        <v>50000</v>
      </c>
    </row>
    <row r="889" spans="1:11" ht="30" customHeight="1" x14ac:dyDescent="0.25">
      <c r="A889" s="60">
        <v>888</v>
      </c>
      <c r="B889" s="60">
        <v>220929102</v>
      </c>
      <c r="C889" s="60" t="s">
        <v>1635</v>
      </c>
      <c r="D889" s="60">
        <v>8.1999999999999993</v>
      </c>
      <c r="E889" s="60">
        <v>7760281313</v>
      </c>
      <c r="F889" s="60" t="s">
        <v>1636</v>
      </c>
      <c r="G889" s="60" t="s">
        <v>317</v>
      </c>
      <c r="H889" s="60" t="s">
        <v>118</v>
      </c>
      <c r="I889" s="60" t="s">
        <v>21</v>
      </c>
      <c r="K889" s="161">
        <v>35000</v>
      </c>
    </row>
    <row r="890" spans="1:11" ht="30" customHeight="1" x14ac:dyDescent="0.25">
      <c r="A890" s="60">
        <v>889</v>
      </c>
      <c r="B890" s="60">
        <v>220953428</v>
      </c>
      <c r="C890" s="60" t="s">
        <v>1637</v>
      </c>
      <c r="D890" s="60">
        <v>8.83</v>
      </c>
      <c r="E890" s="60">
        <v>7022384734</v>
      </c>
      <c r="F890" s="60" t="s">
        <v>1638</v>
      </c>
      <c r="G890" s="60" t="s">
        <v>261</v>
      </c>
      <c r="H890" s="60" t="s">
        <v>48</v>
      </c>
      <c r="I890" s="60" t="s">
        <v>21</v>
      </c>
      <c r="K890" s="161">
        <v>45000</v>
      </c>
    </row>
    <row r="891" spans="1:11" ht="30" customHeight="1" x14ac:dyDescent="0.25">
      <c r="A891" s="60">
        <v>890</v>
      </c>
      <c r="B891" s="60">
        <v>220962104</v>
      </c>
      <c r="C891" s="60" t="s">
        <v>1639</v>
      </c>
      <c r="D891" s="60">
        <v>8.77</v>
      </c>
      <c r="E891" s="60">
        <v>9475474454</v>
      </c>
      <c r="F891" s="60" t="s">
        <v>1640</v>
      </c>
      <c r="G891" s="60" t="s">
        <v>253</v>
      </c>
      <c r="H891" s="60" t="s">
        <v>48</v>
      </c>
      <c r="I891" s="60" t="s">
        <v>21</v>
      </c>
      <c r="K891" s="161">
        <v>45000</v>
      </c>
    </row>
    <row r="892" spans="1:11" ht="30" customHeight="1" x14ac:dyDescent="0.25">
      <c r="A892" s="60">
        <v>891</v>
      </c>
      <c r="B892" s="60">
        <v>220907376</v>
      </c>
      <c r="C892" s="60" t="s">
        <v>1641</v>
      </c>
      <c r="D892" s="60">
        <v>9.31</v>
      </c>
      <c r="E892" s="60">
        <v>7620699097</v>
      </c>
      <c r="F892" s="60" t="s">
        <v>1642</v>
      </c>
      <c r="G892" s="60" t="s">
        <v>277</v>
      </c>
      <c r="H892" s="60" t="s">
        <v>48</v>
      </c>
      <c r="I892" s="60" t="s">
        <v>21</v>
      </c>
      <c r="K892" s="161">
        <v>45000</v>
      </c>
    </row>
    <row r="893" spans="1:11" ht="30" customHeight="1" x14ac:dyDescent="0.25">
      <c r="A893" s="60">
        <v>892</v>
      </c>
      <c r="B893" s="60">
        <v>220907710</v>
      </c>
      <c r="C893" s="60" t="s">
        <v>1196</v>
      </c>
      <c r="D893" s="60">
        <v>9.2100000000000009</v>
      </c>
      <c r="E893" s="60">
        <v>9654946990</v>
      </c>
      <c r="F893" s="60" t="s">
        <v>1197</v>
      </c>
      <c r="G893" s="60" t="s">
        <v>277</v>
      </c>
      <c r="H893" s="60" t="s">
        <v>48</v>
      </c>
      <c r="I893" s="60" t="s">
        <v>21</v>
      </c>
      <c r="K893" s="161">
        <v>45000</v>
      </c>
    </row>
    <row r="894" spans="1:11" ht="30" customHeight="1" x14ac:dyDescent="0.25">
      <c r="A894" s="60">
        <v>893</v>
      </c>
      <c r="B894" s="60">
        <v>220907086</v>
      </c>
      <c r="C894" s="60" t="s">
        <v>1643</v>
      </c>
      <c r="D894" s="60">
        <v>8.66</v>
      </c>
      <c r="E894" s="60">
        <v>8448602936</v>
      </c>
      <c r="F894" s="60" t="s">
        <v>1644</v>
      </c>
      <c r="G894" s="60" t="s">
        <v>277</v>
      </c>
      <c r="H894" s="60" t="s">
        <v>48</v>
      </c>
      <c r="I894" s="60" t="s">
        <v>21</v>
      </c>
      <c r="K894" s="161">
        <v>45000</v>
      </c>
    </row>
    <row r="895" spans="1:11" ht="30" customHeight="1" x14ac:dyDescent="0.25">
      <c r="A895" s="60">
        <v>894</v>
      </c>
      <c r="B895" s="60">
        <v>220907654</v>
      </c>
      <c r="C895" s="60" t="s">
        <v>1645</v>
      </c>
      <c r="D895" s="60">
        <v>8.3000000000000007</v>
      </c>
      <c r="E895" s="60">
        <v>9193911205</v>
      </c>
      <c r="F895" s="60" t="s">
        <v>1646</v>
      </c>
      <c r="G895" s="60" t="s">
        <v>277</v>
      </c>
      <c r="H895" s="60" t="s">
        <v>48</v>
      </c>
      <c r="I895" s="60" t="s">
        <v>21</v>
      </c>
      <c r="K895" s="161">
        <v>45000</v>
      </c>
    </row>
    <row r="896" spans="1:11" ht="30" customHeight="1" x14ac:dyDescent="0.25">
      <c r="A896" s="60">
        <v>895</v>
      </c>
      <c r="B896" s="60">
        <v>220907042</v>
      </c>
      <c r="C896" s="60" t="s">
        <v>1647</v>
      </c>
      <c r="D896" s="60">
        <v>7.13</v>
      </c>
      <c r="E896" s="60">
        <v>9949607307</v>
      </c>
      <c r="F896" s="60" t="s">
        <v>1648</v>
      </c>
      <c r="G896" s="60" t="s">
        <v>277</v>
      </c>
      <c r="H896" s="60" t="s">
        <v>48</v>
      </c>
      <c r="I896" s="60" t="s">
        <v>21</v>
      </c>
      <c r="K896" s="161">
        <v>45000</v>
      </c>
    </row>
    <row r="897" spans="1:11" ht="30" customHeight="1" x14ac:dyDescent="0.25">
      <c r="A897" s="60">
        <v>896</v>
      </c>
      <c r="B897" s="60">
        <v>220962366</v>
      </c>
      <c r="C897" s="60" t="s">
        <v>1649</v>
      </c>
      <c r="D897" s="60">
        <v>9.4700000000000006</v>
      </c>
      <c r="E897" s="60">
        <v>9025739494</v>
      </c>
      <c r="F897" s="60" t="s">
        <v>1650</v>
      </c>
      <c r="G897" s="60" t="s">
        <v>253</v>
      </c>
      <c r="H897" s="60" t="s">
        <v>1651</v>
      </c>
      <c r="I897" s="60" t="s">
        <v>21</v>
      </c>
      <c r="K897" s="161">
        <v>45000</v>
      </c>
    </row>
    <row r="898" spans="1:11" ht="30" customHeight="1" x14ac:dyDescent="0.25">
      <c r="A898" s="60">
        <v>897</v>
      </c>
      <c r="B898" s="60">
        <v>220962278</v>
      </c>
      <c r="C898" s="60" t="s">
        <v>1652</v>
      </c>
      <c r="D898" s="60">
        <v>9.08</v>
      </c>
      <c r="E898" s="60">
        <v>8799739215</v>
      </c>
      <c r="F898" s="60" t="s">
        <v>1653</v>
      </c>
      <c r="G898" s="60" t="s">
        <v>253</v>
      </c>
      <c r="H898" s="60" t="s">
        <v>1651</v>
      </c>
      <c r="I898" s="60" t="s">
        <v>21</v>
      </c>
      <c r="K898" s="161">
        <v>45000</v>
      </c>
    </row>
    <row r="899" spans="1:11" ht="30" customHeight="1" x14ac:dyDescent="0.25">
      <c r="A899" s="60">
        <v>898</v>
      </c>
      <c r="B899" s="60">
        <v>220968124</v>
      </c>
      <c r="C899" s="60" t="s">
        <v>1654</v>
      </c>
      <c r="D899" s="60">
        <v>8.3800000000000008</v>
      </c>
      <c r="E899" s="60">
        <v>9902710277</v>
      </c>
      <c r="F899" s="60" t="s">
        <v>1655</v>
      </c>
      <c r="G899" s="60" t="s">
        <v>384</v>
      </c>
      <c r="H899" s="60" t="s">
        <v>1651</v>
      </c>
      <c r="I899" s="60" t="s">
        <v>21</v>
      </c>
      <c r="K899" s="161">
        <v>45000</v>
      </c>
    </row>
    <row r="900" spans="1:11" ht="30" customHeight="1" x14ac:dyDescent="0.25">
      <c r="A900" s="60">
        <v>899</v>
      </c>
      <c r="B900" s="60">
        <v>220909270</v>
      </c>
      <c r="C900" s="60" t="s">
        <v>1656</v>
      </c>
      <c r="D900" s="60">
        <v>7.69</v>
      </c>
      <c r="E900" s="60">
        <v>9945556451</v>
      </c>
      <c r="F900" s="60" t="s">
        <v>1657</v>
      </c>
      <c r="G900" s="60" t="s">
        <v>312</v>
      </c>
      <c r="H900" s="60" t="s">
        <v>133</v>
      </c>
      <c r="I900" s="60" t="s">
        <v>21</v>
      </c>
      <c r="K900" s="161">
        <v>30000</v>
      </c>
    </row>
    <row r="901" spans="1:11" ht="30" customHeight="1" x14ac:dyDescent="0.25">
      <c r="A901" s="60">
        <v>900</v>
      </c>
      <c r="B901" s="60">
        <v>220903176</v>
      </c>
      <c r="C901" s="60" t="s">
        <v>1658</v>
      </c>
      <c r="D901" s="60">
        <v>7.29</v>
      </c>
      <c r="E901" s="60">
        <v>7045708574</v>
      </c>
      <c r="F901" s="60" t="s">
        <v>1659</v>
      </c>
      <c r="G901" s="60" t="s">
        <v>286</v>
      </c>
      <c r="H901" s="60" t="s">
        <v>133</v>
      </c>
      <c r="I901" s="60" t="s">
        <v>21</v>
      </c>
      <c r="K901" s="161">
        <v>30000</v>
      </c>
    </row>
    <row r="902" spans="1:11" ht="30" customHeight="1" x14ac:dyDescent="0.25">
      <c r="A902" s="60">
        <v>901</v>
      </c>
      <c r="B902" s="60">
        <v>220905134</v>
      </c>
      <c r="C902" s="60" t="s">
        <v>1660</v>
      </c>
      <c r="D902" s="60">
        <v>6.88</v>
      </c>
      <c r="E902" s="60">
        <v>6283518525</v>
      </c>
      <c r="F902" s="60" t="s">
        <v>1661</v>
      </c>
      <c r="G902" s="60" t="s">
        <v>256</v>
      </c>
      <c r="H902" s="60" t="s">
        <v>133</v>
      </c>
      <c r="I902" s="60" t="s">
        <v>21</v>
      </c>
      <c r="K902" s="161">
        <v>30000</v>
      </c>
    </row>
    <row r="903" spans="1:11" ht="30" customHeight="1" x14ac:dyDescent="0.25">
      <c r="A903" s="60">
        <v>902</v>
      </c>
      <c r="B903" s="60">
        <v>220906342</v>
      </c>
      <c r="C903" s="60" t="s">
        <v>1662</v>
      </c>
      <c r="D903" s="60">
        <v>8.1199999999999992</v>
      </c>
      <c r="E903" s="60">
        <v>8135020811</v>
      </c>
      <c r="F903" s="60" t="s">
        <v>1663</v>
      </c>
      <c r="G903" s="60" t="s">
        <v>478</v>
      </c>
      <c r="H903" s="60" t="s">
        <v>133</v>
      </c>
      <c r="I903" s="60" t="s">
        <v>21</v>
      </c>
      <c r="K903" s="161">
        <v>30000</v>
      </c>
    </row>
    <row r="904" spans="1:11" ht="30" customHeight="1" x14ac:dyDescent="0.25">
      <c r="A904" s="60">
        <v>903</v>
      </c>
      <c r="B904" s="60">
        <v>220906020</v>
      </c>
      <c r="C904" s="60" t="s">
        <v>1664</v>
      </c>
      <c r="D904" s="60">
        <v>7.85</v>
      </c>
      <c r="E904" s="60">
        <v>9695531115</v>
      </c>
      <c r="F904" s="60" t="s">
        <v>1665</v>
      </c>
      <c r="G904" s="60" t="s">
        <v>478</v>
      </c>
      <c r="H904" s="60" t="s">
        <v>133</v>
      </c>
      <c r="I904" s="60" t="s">
        <v>21</v>
      </c>
      <c r="K904" s="161">
        <v>30000</v>
      </c>
    </row>
    <row r="905" spans="1:11" ht="30" customHeight="1" x14ac:dyDescent="0.25">
      <c r="A905" s="60">
        <v>904</v>
      </c>
      <c r="B905" s="60">
        <v>220906018</v>
      </c>
      <c r="C905" s="60" t="s">
        <v>1428</v>
      </c>
      <c r="D905" s="60">
        <v>7.76</v>
      </c>
      <c r="E905" s="60">
        <v>8088200182</v>
      </c>
      <c r="F905" s="60" t="s">
        <v>1429</v>
      </c>
      <c r="G905" s="60" t="s">
        <v>478</v>
      </c>
      <c r="H905" s="60" t="s">
        <v>133</v>
      </c>
      <c r="I905" s="60" t="s">
        <v>21</v>
      </c>
      <c r="K905" s="161">
        <v>30000</v>
      </c>
    </row>
    <row r="906" spans="1:11" ht="30" customHeight="1" x14ac:dyDescent="0.25">
      <c r="A906" s="60">
        <v>905</v>
      </c>
      <c r="B906" s="60">
        <v>220906001</v>
      </c>
      <c r="C906" s="60" t="s">
        <v>1666</v>
      </c>
      <c r="D906" s="60">
        <v>7.6</v>
      </c>
      <c r="E906" s="60">
        <v>9740691862</v>
      </c>
      <c r="F906" s="60" t="s">
        <v>1667</v>
      </c>
      <c r="G906" s="60" t="s">
        <v>478</v>
      </c>
      <c r="H906" s="60" t="s">
        <v>133</v>
      </c>
      <c r="I906" s="60" t="s">
        <v>21</v>
      </c>
      <c r="K906" s="161">
        <v>30000</v>
      </c>
    </row>
    <row r="907" spans="1:11" ht="30" customHeight="1" x14ac:dyDescent="0.25">
      <c r="A907" s="60">
        <v>906</v>
      </c>
      <c r="B907" s="60">
        <v>220907776</v>
      </c>
      <c r="C907" s="60" t="s">
        <v>1668</v>
      </c>
      <c r="D907" s="60">
        <v>8.4</v>
      </c>
      <c r="E907" s="60">
        <v>6291525298</v>
      </c>
      <c r="F907" s="60" t="s">
        <v>1669</v>
      </c>
      <c r="G907" s="60" t="s">
        <v>277</v>
      </c>
      <c r="H907" s="60" t="s">
        <v>133</v>
      </c>
      <c r="I907" s="60" t="s">
        <v>21</v>
      </c>
      <c r="K907" s="161">
        <v>30000</v>
      </c>
    </row>
    <row r="908" spans="1:11" ht="30" customHeight="1" x14ac:dyDescent="0.25">
      <c r="A908" s="60">
        <v>907</v>
      </c>
      <c r="B908" s="60">
        <v>220907578</v>
      </c>
      <c r="C908" s="60" t="s">
        <v>1670</v>
      </c>
      <c r="D908" s="60">
        <v>8.0500000000000007</v>
      </c>
      <c r="E908" s="60">
        <v>8147605483</v>
      </c>
      <c r="F908" s="60" t="s">
        <v>1671</v>
      </c>
      <c r="G908" s="60" t="s">
        <v>277</v>
      </c>
      <c r="H908" s="60" t="s">
        <v>133</v>
      </c>
      <c r="I908" s="60" t="s">
        <v>21</v>
      </c>
      <c r="K908" s="161">
        <v>30000</v>
      </c>
    </row>
    <row r="909" spans="1:11" ht="30" customHeight="1" x14ac:dyDescent="0.25">
      <c r="A909" s="60">
        <v>908</v>
      </c>
      <c r="B909" s="60">
        <v>220907052</v>
      </c>
      <c r="C909" s="60" t="s">
        <v>1672</v>
      </c>
      <c r="D909" s="60">
        <v>7.17</v>
      </c>
      <c r="E909" s="60">
        <v>7899876804</v>
      </c>
      <c r="F909" s="60" t="s">
        <v>1673</v>
      </c>
      <c r="G909" s="60" t="s">
        <v>277</v>
      </c>
      <c r="H909" s="60" t="s">
        <v>133</v>
      </c>
      <c r="I909" s="60" t="s">
        <v>21</v>
      </c>
      <c r="K909" s="161">
        <v>30000</v>
      </c>
    </row>
    <row r="910" spans="1:11" ht="30" customHeight="1" x14ac:dyDescent="0.25">
      <c r="A910" s="60">
        <v>909</v>
      </c>
      <c r="B910" s="60">
        <v>220907668</v>
      </c>
      <c r="C910" s="60" t="s">
        <v>1674</v>
      </c>
      <c r="D910" s="60">
        <v>6.71</v>
      </c>
      <c r="E910" s="60">
        <v>9326700434</v>
      </c>
      <c r="F910" s="60" t="s">
        <v>1675</v>
      </c>
      <c r="G910" s="60" t="s">
        <v>277</v>
      </c>
      <c r="H910" s="60" t="s">
        <v>133</v>
      </c>
      <c r="I910" s="60" t="s">
        <v>21</v>
      </c>
      <c r="K910" s="161">
        <v>30000</v>
      </c>
    </row>
    <row r="911" spans="1:11" ht="30" customHeight="1" x14ac:dyDescent="0.25">
      <c r="A911" s="60">
        <v>910</v>
      </c>
      <c r="B911" s="60">
        <v>220932384</v>
      </c>
      <c r="C911" s="60" t="s">
        <v>1676</v>
      </c>
      <c r="D911" s="60">
        <v>6.55</v>
      </c>
      <c r="E911" s="60">
        <v>8917635582</v>
      </c>
      <c r="F911" s="60" t="s">
        <v>1677</v>
      </c>
      <c r="G911" s="60" t="s">
        <v>289</v>
      </c>
      <c r="H911" s="60" t="s">
        <v>133</v>
      </c>
      <c r="I911" s="60" t="s">
        <v>21</v>
      </c>
      <c r="K911" s="161">
        <v>30000</v>
      </c>
    </row>
    <row r="912" spans="1:11" ht="30" customHeight="1" x14ac:dyDescent="0.25">
      <c r="A912" s="60">
        <v>911</v>
      </c>
      <c r="B912" s="60">
        <v>220911614</v>
      </c>
      <c r="C912" s="60" t="s">
        <v>1678</v>
      </c>
      <c r="D912" s="60">
        <v>7.64</v>
      </c>
      <c r="E912" s="60">
        <v>6369490442</v>
      </c>
      <c r="F912" s="60" t="s">
        <v>1679</v>
      </c>
      <c r="G912" s="60" t="s">
        <v>274</v>
      </c>
      <c r="H912" s="60" t="s">
        <v>133</v>
      </c>
      <c r="I912" s="60" t="s">
        <v>21</v>
      </c>
      <c r="K912" s="161">
        <v>30000</v>
      </c>
    </row>
    <row r="913" spans="1:11" ht="30" customHeight="1" x14ac:dyDescent="0.25">
      <c r="A913" s="60">
        <v>912</v>
      </c>
      <c r="B913" s="60">
        <v>220911068</v>
      </c>
      <c r="C913" s="60" t="s">
        <v>1680</v>
      </c>
      <c r="D913" s="60">
        <v>7.31</v>
      </c>
      <c r="E913" s="60">
        <v>9846009393</v>
      </c>
      <c r="F913" s="60" t="s">
        <v>1681</v>
      </c>
      <c r="G913" s="60" t="s">
        <v>274</v>
      </c>
      <c r="H913" s="60" t="s">
        <v>133</v>
      </c>
      <c r="I913" s="60" t="s">
        <v>21</v>
      </c>
      <c r="K913" s="161">
        <v>30000</v>
      </c>
    </row>
    <row r="914" spans="1:11" ht="30" customHeight="1" x14ac:dyDescent="0.25">
      <c r="A914" s="60">
        <v>913</v>
      </c>
      <c r="B914" s="60">
        <v>220911492</v>
      </c>
      <c r="C914" s="60" t="s">
        <v>1682</v>
      </c>
      <c r="D914" s="60">
        <v>7</v>
      </c>
      <c r="E914" s="60">
        <v>9431325845</v>
      </c>
      <c r="F914" s="60" t="s">
        <v>1683</v>
      </c>
      <c r="G914" s="60" t="s">
        <v>274</v>
      </c>
      <c r="H914" s="60" t="s">
        <v>133</v>
      </c>
      <c r="I914" s="60" t="s">
        <v>21</v>
      </c>
      <c r="K914" s="161">
        <v>30000</v>
      </c>
    </row>
    <row r="915" spans="1:11" ht="30" customHeight="1" x14ac:dyDescent="0.25">
      <c r="A915" s="60">
        <v>914</v>
      </c>
      <c r="B915" s="60">
        <v>220911474</v>
      </c>
      <c r="C915" s="60" t="s">
        <v>1684</v>
      </c>
      <c r="D915" s="60">
        <v>6.95</v>
      </c>
      <c r="E915" s="60">
        <v>8867397515</v>
      </c>
      <c r="F915" s="60" t="s">
        <v>1685</v>
      </c>
      <c r="G915" s="60" t="s">
        <v>274</v>
      </c>
      <c r="H915" s="60" t="s">
        <v>133</v>
      </c>
      <c r="I915" s="60" t="s">
        <v>21</v>
      </c>
      <c r="K915" s="161">
        <v>30000</v>
      </c>
    </row>
    <row r="916" spans="1:11" ht="30" customHeight="1" x14ac:dyDescent="0.25">
      <c r="A916" s="60">
        <v>915</v>
      </c>
      <c r="B916" s="60">
        <v>220911350</v>
      </c>
      <c r="C916" s="60" t="s">
        <v>1686</v>
      </c>
      <c r="D916" s="60">
        <v>6.92</v>
      </c>
      <c r="E916" s="60">
        <v>6388270477</v>
      </c>
      <c r="F916" s="60" t="s">
        <v>1687</v>
      </c>
      <c r="G916" s="60" t="s">
        <v>274</v>
      </c>
      <c r="H916" s="60" t="s">
        <v>133</v>
      </c>
      <c r="I916" s="60" t="s">
        <v>21</v>
      </c>
      <c r="K916" s="161">
        <v>30000</v>
      </c>
    </row>
    <row r="917" spans="1:11" ht="30" customHeight="1" x14ac:dyDescent="0.25">
      <c r="A917" s="60">
        <v>916</v>
      </c>
      <c r="B917" s="60">
        <v>220911644</v>
      </c>
      <c r="C917" s="60" t="s">
        <v>1688</v>
      </c>
      <c r="D917" s="60">
        <v>6.72</v>
      </c>
      <c r="E917" s="60">
        <v>8948437573</v>
      </c>
      <c r="F917" s="60" t="s">
        <v>1689</v>
      </c>
      <c r="G917" s="60" t="s">
        <v>274</v>
      </c>
      <c r="H917" s="60" t="s">
        <v>133</v>
      </c>
      <c r="I917" s="60" t="s">
        <v>21</v>
      </c>
      <c r="K917" s="161">
        <v>30000</v>
      </c>
    </row>
    <row r="918" spans="1:11" ht="30" customHeight="1" x14ac:dyDescent="0.25">
      <c r="A918" s="60">
        <v>917</v>
      </c>
      <c r="B918" s="60">
        <v>220903040</v>
      </c>
      <c r="C918" s="60" t="s">
        <v>1690</v>
      </c>
      <c r="D918" s="60">
        <v>9.5</v>
      </c>
      <c r="E918" s="60">
        <v>9136228206</v>
      </c>
      <c r="F918" s="60" t="s">
        <v>1691</v>
      </c>
      <c r="G918" s="60" t="s">
        <v>286</v>
      </c>
      <c r="H918" s="60" t="s">
        <v>133</v>
      </c>
      <c r="I918" s="60" t="s">
        <v>21</v>
      </c>
      <c r="K918" s="161">
        <v>30000</v>
      </c>
    </row>
    <row r="919" spans="1:11" ht="30" customHeight="1" x14ac:dyDescent="0.25">
      <c r="A919" s="60">
        <v>918</v>
      </c>
      <c r="B919" s="60">
        <v>220905490</v>
      </c>
      <c r="C919" s="60" t="s">
        <v>891</v>
      </c>
      <c r="D919" s="60">
        <v>8.4600000000000009</v>
      </c>
      <c r="E919" s="60">
        <v>7050070807</v>
      </c>
      <c r="F919" s="60" t="s">
        <v>892</v>
      </c>
      <c r="G919" s="60" t="s">
        <v>256</v>
      </c>
      <c r="H919" s="60" t="s">
        <v>133</v>
      </c>
      <c r="I919" s="60" t="s">
        <v>21</v>
      </c>
      <c r="K919" s="161">
        <v>30000</v>
      </c>
    </row>
    <row r="920" spans="1:11" ht="30" customHeight="1" x14ac:dyDescent="0.25">
      <c r="A920" s="60">
        <v>919</v>
      </c>
      <c r="B920" s="60">
        <v>220905251</v>
      </c>
      <c r="C920" s="60" t="s">
        <v>1692</v>
      </c>
      <c r="D920" s="60">
        <v>8.02</v>
      </c>
      <c r="E920" s="60">
        <v>8317402998</v>
      </c>
      <c r="F920" s="60" t="s">
        <v>1693</v>
      </c>
      <c r="G920" s="60" t="s">
        <v>256</v>
      </c>
      <c r="H920" s="60" t="s">
        <v>133</v>
      </c>
      <c r="I920" s="60" t="s">
        <v>21</v>
      </c>
      <c r="K920" s="161">
        <v>30000</v>
      </c>
    </row>
    <row r="921" spans="1:11" ht="30" customHeight="1" x14ac:dyDescent="0.25">
      <c r="A921" s="60">
        <v>920</v>
      </c>
      <c r="B921" s="60">
        <v>220905200</v>
      </c>
      <c r="C921" s="60" t="s">
        <v>712</v>
      </c>
      <c r="D921" s="60">
        <v>7.42</v>
      </c>
      <c r="E921" s="60">
        <v>9959171065</v>
      </c>
      <c r="F921" s="60" t="s">
        <v>713</v>
      </c>
      <c r="G921" s="60" t="s">
        <v>256</v>
      </c>
      <c r="H921" s="60" t="s">
        <v>133</v>
      </c>
      <c r="I921" s="60" t="s">
        <v>21</v>
      </c>
      <c r="K921" s="161">
        <v>30000</v>
      </c>
    </row>
    <row r="922" spans="1:11" ht="30" customHeight="1" x14ac:dyDescent="0.25">
      <c r="A922" s="60">
        <v>921</v>
      </c>
      <c r="B922" s="159">
        <v>220905213</v>
      </c>
      <c r="C922" s="159" t="s">
        <v>1694</v>
      </c>
      <c r="D922" s="160">
        <v>6.89</v>
      </c>
      <c r="E922" s="159">
        <v>7019179435</v>
      </c>
      <c r="F922" s="159" t="s">
        <v>1695</v>
      </c>
      <c r="G922" s="60" t="s">
        <v>256</v>
      </c>
      <c r="H922" s="60" t="s">
        <v>133</v>
      </c>
      <c r="I922" s="60" t="s">
        <v>21</v>
      </c>
      <c r="K922" s="161">
        <v>30000</v>
      </c>
    </row>
    <row r="923" spans="1:11" ht="30" customHeight="1" x14ac:dyDescent="0.25">
      <c r="A923" s="60">
        <v>922</v>
      </c>
      <c r="B923" s="159">
        <v>220907604</v>
      </c>
      <c r="C923" s="159" t="s">
        <v>1696</v>
      </c>
      <c r="D923" s="160">
        <v>7.93</v>
      </c>
      <c r="E923" s="159">
        <v>8104875077</v>
      </c>
      <c r="F923" s="159" t="s">
        <v>1697</v>
      </c>
      <c r="G923" s="159" t="s">
        <v>277</v>
      </c>
      <c r="H923" s="60" t="s">
        <v>133</v>
      </c>
      <c r="I923" s="60" t="s">
        <v>21</v>
      </c>
      <c r="K923" s="161">
        <v>30000</v>
      </c>
    </row>
    <row r="924" spans="1:11" ht="30" customHeight="1" x14ac:dyDescent="0.25">
      <c r="A924" s="60">
        <v>923</v>
      </c>
      <c r="B924" s="60">
        <v>220932058</v>
      </c>
      <c r="C924" s="60" t="s">
        <v>1698</v>
      </c>
      <c r="D924" s="60">
        <v>7.23</v>
      </c>
      <c r="E924" s="60">
        <v>9112803787</v>
      </c>
      <c r="F924" s="60" t="s">
        <v>1699</v>
      </c>
      <c r="G924" s="60" t="s">
        <v>289</v>
      </c>
      <c r="H924" s="60" t="s">
        <v>133</v>
      </c>
      <c r="I924" s="60" t="s">
        <v>21</v>
      </c>
      <c r="K924" s="161">
        <v>30000</v>
      </c>
    </row>
    <row r="925" spans="1:11" ht="30" customHeight="1" x14ac:dyDescent="0.25">
      <c r="A925" s="60">
        <v>924</v>
      </c>
      <c r="B925" s="60">
        <v>220933138</v>
      </c>
      <c r="C925" s="159" t="s">
        <v>1700</v>
      </c>
      <c r="D925" s="60">
        <v>6.84</v>
      </c>
      <c r="E925" s="60">
        <v>9833733372</v>
      </c>
      <c r="F925" s="60" t="s">
        <v>1701</v>
      </c>
      <c r="G925" s="60" t="s">
        <v>330</v>
      </c>
      <c r="H925" s="60" t="s">
        <v>1702</v>
      </c>
      <c r="I925" s="60" t="s">
        <v>21</v>
      </c>
      <c r="K925" s="161">
        <v>70000</v>
      </c>
    </row>
    <row r="926" spans="1:11" ht="30" customHeight="1" x14ac:dyDescent="0.25">
      <c r="A926" s="60">
        <v>925</v>
      </c>
      <c r="B926" s="60">
        <v>220953682</v>
      </c>
      <c r="C926" s="159" t="s">
        <v>1703</v>
      </c>
      <c r="D926" s="60">
        <v>7.33</v>
      </c>
      <c r="E926" s="60">
        <v>9315104437</v>
      </c>
      <c r="F926" s="60" t="s">
        <v>1704</v>
      </c>
      <c r="G926" s="60" t="s">
        <v>261</v>
      </c>
      <c r="H926" s="60" t="s">
        <v>1705</v>
      </c>
      <c r="I926" s="60" t="s">
        <v>21</v>
      </c>
      <c r="K926" s="161">
        <v>70000</v>
      </c>
    </row>
    <row r="927" spans="1:11" ht="30" customHeight="1" x14ac:dyDescent="0.25">
      <c r="A927" s="60">
        <v>926</v>
      </c>
      <c r="B927" s="60">
        <v>220962414</v>
      </c>
      <c r="C927" s="159" t="s">
        <v>1706</v>
      </c>
      <c r="D927" s="60">
        <v>7.92</v>
      </c>
      <c r="E927" s="60">
        <v>7304003888</v>
      </c>
      <c r="F927" s="60" t="s">
        <v>1707</v>
      </c>
      <c r="G927" s="60" t="s">
        <v>253</v>
      </c>
      <c r="H927" s="60" t="s">
        <v>1708</v>
      </c>
      <c r="I927" s="60" t="s">
        <v>21</v>
      </c>
      <c r="K927" s="161">
        <v>70000</v>
      </c>
    </row>
    <row r="928" spans="1:11" ht="30" customHeight="1" x14ac:dyDescent="0.25">
      <c r="A928" s="60">
        <v>927</v>
      </c>
      <c r="B928" s="60">
        <v>220962332</v>
      </c>
      <c r="C928" s="159" t="s">
        <v>1709</v>
      </c>
      <c r="D928" s="60">
        <v>6.5</v>
      </c>
      <c r="E928" s="60">
        <v>9559334555</v>
      </c>
      <c r="F928" s="60" t="s">
        <v>1710</v>
      </c>
      <c r="G928" s="60" t="s">
        <v>253</v>
      </c>
      <c r="H928" s="60" t="s">
        <v>1702</v>
      </c>
      <c r="I928" s="60" t="s">
        <v>21</v>
      </c>
      <c r="K928" s="161">
        <v>70000</v>
      </c>
    </row>
    <row r="929" spans="1:11" ht="30" customHeight="1" x14ac:dyDescent="0.25">
      <c r="A929" s="60">
        <v>928</v>
      </c>
      <c r="B929" s="60">
        <v>220961176</v>
      </c>
      <c r="C929" s="159" t="s">
        <v>1711</v>
      </c>
      <c r="D929" s="60">
        <v>7.41</v>
      </c>
      <c r="E929" s="60">
        <v>7338657179</v>
      </c>
      <c r="F929" s="60" t="s">
        <v>1712</v>
      </c>
      <c r="G929" s="60" t="s">
        <v>541</v>
      </c>
      <c r="H929" s="60" t="s">
        <v>1708</v>
      </c>
      <c r="I929" s="60" t="s">
        <v>21</v>
      </c>
      <c r="K929" s="161">
        <v>70000</v>
      </c>
    </row>
    <row r="930" spans="1:11" ht="30" customHeight="1" x14ac:dyDescent="0.25">
      <c r="A930" s="60">
        <v>929</v>
      </c>
      <c r="B930" s="60">
        <v>220907590</v>
      </c>
      <c r="C930" s="159" t="s">
        <v>1713</v>
      </c>
      <c r="D930" s="60">
        <v>7.91</v>
      </c>
      <c r="E930" s="60">
        <v>8433658930</v>
      </c>
      <c r="F930" s="60" t="s">
        <v>1714</v>
      </c>
      <c r="G930" s="60" t="s">
        <v>277</v>
      </c>
      <c r="H930" s="60" t="s">
        <v>1702</v>
      </c>
      <c r="I930" s="60" t="s">
        <v>21</v>
      </c>
      <c r="K930" s="161">
        <v>70000</v>
      </c>
    </row>
    <row r="931" spans="1:11" ht="30" customHeight="1" x14ac:dyDescent="0.25">
      <c r="A931" s="60">
        <v>930</v>
      </c>
      <c r="B931" s="60">
        <v>220911602</v>
      </c>
      <c r="C931" s="159" t="s">
        <v>1144</v>
      </c>
      <c r="D931" s="60">
        <v>7.72</v>
      </c>
      <c r="E931" s="60">
        <v>8793990732</v>
      </c>
      <c r="F931" s="60" t="s">
        <v>1145</v>
      </c>
      <c r="G931" s="60" t="s">
        <v>274</v>
      </c>
      <c r="H931" s="60" t="s">
        <v>1702</v>
      </c>
      <c r="I931" s="60" t="s">
        <v>21</v>
      </c>
      <c r="K931" s="161">
        <v>70000</v>
      </c>
    </row>
    <row r="932" spans="1:11" ht="30" customHeight="1" x14ac:dyDescent="0.25">
      <c r="A932" s="60">
        <v>931</v>
      </c>
      <c r="B932" s="60">
        <v>220929332</v>
      </c>
      <c r="C932" s="159" t="s">
        <v>1715</v>
      </c>
      <c r="D932" s="60">
        <v>7.83</v>
      </c>
      <c r="E932" s="60">
        <v>9702080087</v>
      </c>
      <c r="F932" s="60" t="s">
        <v>1716</v>
      </c>
      <c r="G932" s="60" t="s">
        <v>317</v>
      </c>
      <c r="H932" s="60" t="s">
        <v>1702</v>
      </c>
      <c r="I932" s="60" t="s">
        <v>21</v>
      </c>
      <c r="K932" s="161">
        <v>70000</v>
      </c>
    </row>
    <row r="933" spans="1:11" ht="30" customHeight="1" x14ac:dyDescent="0.25">
      <c r="A933" s="60">
        <v>932</v>
      </c>
      <c r="B933" s="60">
        <v>220929190</v>
      </c>
      <c r="C933" s="159" t="s">
        <v>761</v>
      </c>
      <c r="D933" s="60">
        <v>6.84</v>
      </c>
      <c r="E933" s="60">
        <v>9845917187</v>
      </c>
      <c r="F933" s="60" t="s">
        <v>762</v>
      </c>
      <c r="G933" s="60" t="s">
        <v>317</v>
      </c>
      <c r="H933" s="60" t="s">
        <v>1702</v>
      </c>
      <c r="I933" s="60" t="s">
        <v>21</v>
      </c>
      <c r="K933" s="161">
        <v>70000</v>
      </c>
    </row>
    <row r="934" spans="1:11" ht="30" customHeight="1" x14ac:dyDescent="0.25">
      <c r="A934" s="60">
        <v>933</v>
      </c>
      <c r="B934" s="60">
        <v>220953031</v>
      </c>
      <c r="C934" s="60" t="s">
        <v>1717</v>
      </c>
      <c r="D934" s="60">
        <v>8.2899999999999991</v>
      </c>
      <c r="E934" s="60">
        <v>9433062072</v>
      </c>
      <c r="F934" s="60" t="s">
        <v>1718</v>
      </c>
      <c r="G934" s="60" t="s">
        <v>261</v>
      </c>
      <c r="H934" s="60" t="s">
        <v>138</v>
      </c>
      <c r="I934" s="60" t="s">
        <v>21</v>
      </c>
      <c r="K934" s="161">
        <v>45000</v>
      </c>
    </row>
    <row r="935" spans="1:11" ht="30" customHeight="1" x14ac:dyDescent="0.25">
      <c r="A935" s="60">
        <v>934</v>
      </c>
      <c r="B935" s="60">
        <v>220905016</v>
      </c>
      <c r="C935" s="60" t="s">
        <v>1719</v>
      </c>
      <c r="D935" s="60">
        <v>9.27</v>
      </c>
      <c r="E935" s="60">
        <v>9611883273</v>
      </c>
      <c r="F935" s="60" t="s">
        <v>1720</v>
      </c>
      <c r="G935" s="60" t="s">
        <v>256</v>
      </c>
      <c r="H935" s="60" t="s">
        <v>138</v>
      </c>
      <c r="I935" s="60" t="s">
        <v>21</v>
      </c>
      <c r="K935" s="161">
        <v>45000</v>
      </c>
    </row>
    <row r="936" spans="1:11" ht="30" customHeight="1" x14ac:dyDescent="0.25">
      <c r="A936" s="60">
        <v>935</v>
      </c>
      <c r="B936" s="60">
        <v>220962141</v>
      </c>
      <c r="C936" s="60" t="s">
        <v>1280</v>
      </c>
      <c r="D936" s="60">
        <v>8.5299999999999994</v>
      </c>
      <c r="E936" s="60">
        <v>6282303349</v>
      </c>
      <c r="F936" s="60" t="s">
        <v>1281</v>
      </c>
      <c r="G936" s="60" t="s">
        <v>253</v>
      </c>
      <c r="H936" s="60" t="s">
        <v>138</v>
      </c>
      <c r="I936" s="60" t="s">
        <v>21</v>
      </c>
      <c r="K936" s="161">
        <v>45000</v>
      </c>
    </row>
    <row r="937" spans="1:11" ht="30" customHeight="1" x14ac:dyDescent="0.25">
      <c r="A937" s="60">
        <v>936</v>
      </c>
      <c r="B937" s="60">
        <v>220962374</v>
      </c>
      <c r="C937" s="60" t="s">
        <v>1721</v>
      </c>
      <c r="D937" s="60">
        <v>8.02</v>
      </c>
      <c r="E937" s="60">
        <v>9999494223</v>
      </c>
      <c r="F937" s="60" t="s">
        <v>1722</v>
      </c>
      <c r="G937" s="60" t="s">
        <v>253</v>
      </c>
      <c r="H937" s="60" t="s">
        <v>138</v>
      </c>
      <c r="I937" s="60" t="s">
        <v>21</v>
      </c>
      <c r="K937" s="161">
        <v>45000</v>
      </c>
    </row>
    <row r="938" spans="1:11" ht="30" customHeight="1" x14ac:dyDescent="0.25">
      <c r="A938" s="60">
        <v>937</v>
      </c>
      <c r="B938" s="159">
        <v>220968424</v>
      </c>
      <c r="C938" s="159" t="s">
        <v>1723</v>
      </c>
      <c r="D938" s="160">
        <v>8.6199999999999992</v>
      </c>
      <c r="E938" s="159">
        <v>9799682963</v>
      </c>
      <c r="F938" s="159" t="s">
        <v>1724</v>
      </c>
      <c r="G938" s="159" t="s">
        <v>384</v>
      </c>
      <c r="H938" s="60" t="s">
        <v>1725</v>
      </c>
      <c r="I938" s="60" t="s">
        <v>21</v>
      </c>
      <c r="K938" s="161">
        <v>98000</v>
      </c>
    </row>
    <row r="939" spans="1:11" ht="30" customHeight="1" x14ac:dyDescent="0.25">
      <c r="A939" s="60">
        <v>938</v>
      </c>
      <c r="B939" s="159">
        <v>220968336</v>
      </c>
      <c r="C939" s="159" t="s">
        <v>1726</v>
      </c>
      <c r="D939" s="160">
        <v>8.58</v>
      </c>
      <c r="E939" s="159">
        <v>9354314395</v>
      </c>
      <c r="F939" s="159" t="s">
        <v>1727</v>
      </c>
      <c r="G939" s="159" t="s">
        <v>384</v>
      </c>
      <c r="H939" s="60" t="s">
        <v>1728</v>
      </c>
      <c r="I939" s="60" t="s">
        <v>21</v>
      </c>
      <c r="K939" s="161">
        <v>98000</v>
      </c>
    </row>
    <row r="940" spans="1:11" ht="30" customHeight="1" x14ac:dyDescent="0.25">
      <c r="A940" s="60">
        <v>939</v>
      </c>
      <c r="B940" s="159">
        <v>220905518</v>
      </c>
      <c r="C940" s="159" t="s">
        <v>1729</v>
      </c>
      <c r="D940" s="160">
        <v>6.8</v>
      </c>
      <c r="E940" s="159">
        <v>7984756338</v>
      </c>
      <c r="F940" s="159" t="s">
        <v>1730</v>
      </c>
      <c r="G940" s="159" t="s">
        <v>256</v>
      </c>
      <c r="H940" s="60" t="s">
        <v>144</v>
      </c>
      <c r="I940" s="60" t="s">
        <v>21</v>
      </c>
      <c r="K940" s="161">
        <v>35000</v>
      </c>
    </row>
    <row r="941" spans="1:11" ht="30" customHeight="1" x14ac:dyDescent="0.25">
      <c r="A941" s="60">
        <v>940</v>
      </c>
      <c r="B941" s="60">
        <v>220931014</v>
      </c>
      <c r="C941" s="60" t="s">
        <v>1731</v>
      </c>
      <c r="D941" s="60">
        <v>7.11</v>
      </c>
      <c r="E941" s="60">
        <v>9121013920</v>
      </c>
      <c r="F941" s="60" t="s">
        <v>1732</v>
      </c>
      <c r="G941" s="60" t="s">
        <v>803</v>
      </c>
      <c r="H941" s="60" t="s">
        <v>147</v>
      </c>
      <c r="I941" s="60" t="s">
        <v>21</v>
      </c>
      <c r="K941" s="161">
        <v>25000</v>
      </c>
    </row>
    <row r="942" spans="1:11" ht="30" customHeight="1" x14ac:dyDescent="0.25">
      <c r="A942" s="60">
        <v>941</v>
      </c>
      <c r="B942" s="60">
        <v>220929288</v>
      </c>
      <c r="C942" s="60" t="s">
        <v>1310</v>
      </c>
      <c r="D942" s="60">
        <v>8.2100000000000009</v>
      </c>
      <c r="E942" s="60">
        <v>9108595146</v>
      </c>
      <c r="F942" s="60" t="s">
        <v>1311</v>
      </c>
      <c r="G942" s="60" t="s">
        <v>317</v>
      </c>
      <c r="H942" s="60" t="s">
        <v>147</v>
      </c>
      <c r="I942" s="60" t="s">
        <v>21</v>
      </c>
      <c r="K942" s="161">
        <v>25000</v>
      </c>
    </row>
    <row r="943" spans="1:11" ht="30" customHeight="1" x14ac:dyDescent="0.25">
      <c r="A943" s="60">
        <v>942</v>
      </c>
      <c r="B943" s="60">
        <v>220929272</v>
      </c>
      <c r="C943" s="60" t="s">
        <v>1733</v>
      </c>
      <c r="D943" s="60">
        <v>7.4</v>
      </c>
      <c r="E943" s="60">
        <v>7738050009</v>
      </c>
      <c r="F943" s="60" t="s">
        <v>1734</v>
      </c>
      <c r="G943" s="60" t="s">
        <v>317</v>
      </c>
      <c r="H943" s="60" t="s">
        <v>147</v>
      </c>
      <c r="I943" s="60" t="s">
        <v>21</v>
      </c>
      <c r="K943" s="161">
        <v>25000</v>
      </c>
    </row>
    <row r="944" spans="1:11" ht="30" customHeight="1" x14ac:dyDescent="0.25">
      <c r="A944" s="60">
        <v>943</v>
      </c>
      <c r="B944" s="60">
        <v>220929216</v>
      </c>
      <c r="C944" s="60" t="s">
        <v>1735</v>
      </c>
      <c r="D944" s="60">
        <v>6.65</v>
      </c>
      <c r="E944" s="60">
        <v>9869388951</v>
      </c>
      <c r="F944" s="60" t="s">
        <v>1736</v>
      </c>
      <c r="G944" s="60" t="s">
        <v>317</v>
      </c>
      <c r="H944" s="60" t="s">
        <v>147</v>
      </c>
      <c r="I944" s="60" t="s">
        <v>21</v>
      </c>
      <c r="K944" s="161">
        <v>25000</v>
      </c>
    </row>
    <row r="945" spans="1:11" ht="30" customHeight="1" x14ac:dyDescent="0.25">
      <c r="A945" s="60">
        <v>944</v>
      </c>
      <c r="B945" s="159">
        <v>220905106</v>
      </c>
      <c r="C945" s="159" t="s">
        <v>1737</v>
      </c>
      <c r="D945" s="160">
        <v>6.67</v>
      </c>
      <c r="E945" s="159">
        <v>8960756644</v>
      </c>
      <c r="F945" s="159" t="s">
        <v>1738</v>
      </c>
      <c r="G945" s="159" t="s">
        <v>256</v>
      </c>
      <c r="H945" s="60" t="s">
        <v>1739</v>
      </c>
      <c r="I945" s="60" t="s">
        <v>21</v>
      </c>
      <c r="K945" s="161">
        <v>70000</v>
      </c>
    </row>
    <row r="946" spans="1:11" ht="30" customHeight="1" x14ac:dyDescent="0.25">
      <c r="A946" s="60">
        <v>945</v>
      </c>
      <c r="B946" s="159">
        <v>220962139</v>
      </c>
      <c r="C946" s="60" t="s">
        <v>1740</v>
      </c>
      <c r="D946" s="60">
        <v>8.74</v>
      </c>
      <c r="E946" s="60">
        <v>8115780710</v>
      </c>
      <c r="F946" s="60" t="s">
        <v>1741</v>
      </c>
      <c r="G946" s="60" t="s">
        <v>253</v>
      </c>
      <c r="H946" s="60" t="s">
        <v>1742</v>
      </c>
      <c r="I946" s="60" t="s">
        <v>21</v>
      </c>
      <c r="K946" s="161">
        <v>43000</v>
      </c>
    </row>
    <row r="947" spans="1:11" ht="30" customHeight="1" x14ac:dyDescent="0.25">
      <c r="A947" s="60">
        <v>946</v>
      </c>
      <c r="B947" s="159">
        <v>220907736</v>
      </c>
      <c r="C947" s="60" t="s">
        <v>1743</v>
      </c>
      <c r="D947" s="60">
        <v>8.26</v>
      </c>
      <c r="E947" s="60">
        <v>9552822999</v>
      </c>
      <c r="F947" s="60" t="s">
        <v>1744</v>
      </c>
      <c r="G947" s="60" t="s">
        <v>277</v>
      </c>
      <c r="H947" s="60" t="s">
        <v>1745</v>
      </c>
      <c r="I947" s="60" t="s">
        <v>21</v>
      </c>
      <c r="K947" s="161">
        <v>43000</v>
      </c>
    </row>
    <row r="948" spans="1:11" ht="30" customHeight="1" x14ac:dyDescent="0.25">
      <c r="A948" s="60">
        <v>947</v>
      </c>
      <c r="B948" s="159">
        <v>220907076</v>
      </c>
      <c r="C948" s="60" t="s">
        <v>1746</v>
      </c>
      <c r="D948" s="60">
        <v>8.25</v>
      </c>
      <c r="E948" s="60">
        <v>9916047150</v>
      </c>
      <c r="F948" s="60" t="s">
        <v>1747</v>
      </c>
      <c r="G948" s="60" t="s">
        <v>277</v>
      </c>
      <c r="H948" s="60" t="s">
        <v>1745</v>
      </c>
      <c r="I948" s="60" t="s">
        <v>21</v>
      </c>
      <c r="K948" s="161">
        <v>43000</v>
      </c>
    </row>
    <row r="949" spans="1:11" ht="30" customHeight="1" x14ac:dyDescent="0.25">
      <c r="A949" s="60">
        <v>948</v>
      </c>
      <c r="B949" s="60">
        <v>220911288</v>
      </c>
      <c r="C949" s="60" t="s">
        <v>1748</v>
      </c>
      <c r="D949" s="60">
        <v>8.4499999999999993</v>
      </c>
      <c r="E949" s="60">
        <v>7798055997</v>
      </c>
      <c r="F949" s="60" t="s">
        <v>1749</v>
      </c>
      <c r="G949" s="60" t="s">
        <v>274</v>
      </c>
      <c r="H949" s="60" t="s">
        <v>152</v>
      </c>
      <c r="I949" s="60" t="s">
        <v>21</v>
      </c>
      <c r="K949" s="161">
        <v>20000</v>
      </c>
    </row>
    <row r="950" spans="1:11" ht="30" customHeight="1" x14ac:dyDescent="0.25">
      <c r="A950" s="60">
        <v>949</v>
      </c>
      <c r="B950" s="60">
        <v>220953126</v>
      </c>
      <c r="C950" s="159" t="s">
        <v>1750</v>
      </c>
      <c r="D950" s="60">
        <v>9.5</v>
      </c>
      <c r="E950" s="60">
        <v>7977747959</v>
      </c>
      <c r="F950" s="60" t="s">
        <v>1751</v>
      </c>
      <c r="G950" s="60" t="s">
        <v>261</v>
      </c>
      <c r="H950" s="60" t="s">
        <v>159</v>
      </c>
      <c r="I950" s="60" t="s">
        <v>21</v>
      </c>
      <c r="K950" s="161">
        <v>50000</v>
      </c>
    </row>
    <row r="951" spans="1:11" ht="30" customHeight="1" x14ac:dyDescent="0.25">
      <c r="A951" s="60">
        <v>950</v>
      </c>
      <c r="B951" s="60">
        <v>220953620</v>
      </c>
      <c r="C951" s="159" t="s">
        <v>1752</v>
      </c>
      <c r="D951" s="60">
        <v>8.65</v>
      </c>
      <c r="E951" s="60">
        <v>8925511500</v>
      </c>
      <c r="F951" s="60" t="s">
        <v>1753</v>
      </c>
      <c r="G951" s="60" t="s">
        <v>261</v>
      </c>
      <c r="H951" s="60" t="s">
        <v>159</v>
      </c>
      <c r="I951" s="60" t="s">
        <v>21</v>
      </c>
      <c r="K951" s="161">
        <v>50000</v>
      </c>
    </row>
    <row r="952" spans="1:11" ht="30" customHeight="1" x14ac:dyDescent="0.25">
      <c r="A952" s="60">
        <v>951</v>
      </c>
      <c r="B952" s="60">
        <v>220953468</v>
      </c>
      <c r="C952" s="159" t="s">
        <v>1754</v>
      </c>
      <c r="D952" s="60">
        <v>8.5399999999999991</v>
      </c>
      <c r="E952" s="60">
        <v>8296856931</v>
      </c>
      <c r="F952" s="60" t="s">
        <v>1755</v>
      </c>
      <c r="G952" s="60" t="s">
        <v>261</v>
      </c>
      <c r="H952" s="60" t="s">
        <v>159</v>
      </c>
      <c r="I952" s="60" t="s">
        <v>21</v>
      </c>
      <c r="K952" s="161">
        <v>50000</v>
      </c>
    </row>
    <row r="953" spans="1:11" ht="30" customHeight="1" x14ac:dyDescent="0.25">
      <c r="A953" s="60">
        <v>952</v>
      </c>
      <c r="B953" s="60">
        <v>220953352</v>
      </c>
      <c r="C953" s="159" t="s">
        <v>1268</v>
      </c>
      <c r="D953" s="60">
        <v>8.51</v>
      </c>
      <c r="E953" s="60">
        <v>9606834142</v>
      </c>
      <c r="F953" s="60" t="s">
        <v>1269</v>
      </c>
      <c r="G953" s="60" t="s">
        <v>261</v>
      </c>
      <c r="H953" s="60" t="s">
        <v>159</v>
      </c>
      <c r="I953" s="60" t="s">
        <v>21</v>
      </c>
      <c r="K953" s="161">
        <v>50000</v>
      </c>
    </row>
    <row r="954" spans="1:11" ht="30" customHeight="1" x14ac:dyDescent="0.25">
      <c r="A954" s="60">
        <v>953</v>
      </c>
      <c r="B954" s="60">
        <v>220953002</v>
      </c>
      <c r="C954" s="159" t="s">
        <v>1142</v>
      </c>
      <c r="D954" s="60">
        <v>8.4</v>
      </c>
      <c r="E954" s="60">
        <v>9731542111</v>
      </c>
      <c r="F954" s="60" t="s">
        <v>1143</v>
      </c>
      <c r="G954" s="60" t="s">
        <v>261</v>
      </c>
      <c r="H954" s="60" t="s">
        <v>159</v>
      </c>
      <c r="I954" s="60" t="s">
        <v>21</v>
      </c>
      <c r="K954" s="161">
        <v>50000</v>
      </c>
    </row>
    <row r="955" spans="1:11" ht="30" customHeight="1" x14ac:dyDescent="0.25">
      <c r="A955" s="60">
        <v>954</v>
      </c>
      <c r="B955" s="60">
        <v>220953134</v>
      </c>
      <c r="C955" s="159" t="s">
        <v>1756</v>
      </c>
      <c r="D955" s="60">
        <v>8.17</v>
      </c>
      <c r="E955" s="60">
        <v>9740244115</v>
      </c>
      <c r="F955" s="60" t="s">
        <v>1757</v>
      </c>
      <c r="G955" s="60" t="s">
        <v>261</v>
      </c>
      <c r="H955" s="60" t="s">
        <v>159</v>
      </c>
      <c r="I955" s="60" t="s">
        <v>21</v>
      </c>
      <c r="K955" s="161">
        <v>50000</v>
      </c>
    </row>
    <row r="956" spans="1:11" ht="30" customHeight="1" x14ac:dyDescent="0.25">
      <c r="A956" s="60">
        <v>955</v>
      </c>
      <c r="B956" s="60">
        <v>220953678</v>
      </c>
      <c r="C956" s="159" t="s">
        <v>1758</v>
      </c>
      <c r="D956" s="60">
        <v>8.08</v>
      </c>
      <c r="E956" s="60">
        <v>7338562609</v>
      </c>
      <c r="F956" s="60" t="s">
        <v>1759</v>
      </c>
      <c r="G956" s="60" t="s">
        <v>261</v>
      </c>
      <c r="H956" s="60" t="s">
        <v>159</v>
      </c>
      <c r="I956" s="60" t="s">
        <v>21</v>
      </c>
      <c r="K956" s="161">
        <v>50000</v>
      </c>
    </row>
    <row r="957" spans="1:11" ht="30" customHeight="1" x14ac:dyDescent="0.25">
      <c r="A957" s="60">
        <v>956</v>
      </c>
      <c r="B957" s="60">
        <v>220953490</v>
      </c>
      <c r="C957" s="159" t="s">
        <v>1760</v>
      </c>
      <c r="D957" s="60">
        <v>8.02</v>
      </c>
      <c r="E957" s="60">
        <v>9043383551</v>
      </c>
      <c r="F957" s="60" t="s">
        <v>1761</v>
      </c>
      <c r="G957" s="60" t="s">
        <v>261</v>
      </c>
      <c r="H957" s="60" t="s">
        <v>159</v>
      </c>
      <c r="I957" s="60" t="s">
        <v>21</v>
      </c>
      <c r="K957" s="161">
        <v>50000</v>
      </c>
    </row>
    <row r="958" spans="1:11" ht="30" customHeight="1" x14ac:dyDescent="0.25">
      <c r="A958" s="60">
        <v>957</v>
      </c>
      <c r="B958" s="60">
        <v>220953372</v>
      </c>
      <c r="C958" s="159" t="s">
        <v>1762</v>
      </c>
      <c r="D958" s="60">
        <v>7.55</v>
      </c>
      <c r="E958" s="60">
        <v>9849203685</v>
      </c>
      <c r="F958" s="60" t="s">
        <v>1763</v>
      </c>
      <c r="G958" s="60" t="s">
        <v>261</v>
      </c>
      <c r="H958" s="60" t="s">
        <v>159</v>
      </c>
      <c r="I958" s="60" t="s">
        <v>21</v>
      </c>
      <c r="K958" s="161">
        <v>50000</v>
      </c>
    </row>
    <row r="959" spans="1:11" ht="30" customHeight="1" x14ac:dyDescent="0.25">
      <c r="A959" s="60">
        <v>958</v>
      </c>
      <c r="B959" s="60">
        <v>220905018</v>
      </c>
      <c r="C959" s="159" t="s">
        <v>1270</v>
      </c>
      <c r="D959" s="60">
        <v>9.65</v>
      </c>
      <c r="E959" s="60">
        <v>8431775997</v>
      </c>
      <c r="F959" s="60" t="s">
        <v>1271</v>
      </c>
      <c r="G959" s="60" t="s">
        <v>256</v>
      </c>
      <c r="H959" s="60" t="s">
        <v>159</v>
      </c>
      <c r="I959" s="60" t="s">
        <v>21</v>
      </c>
      <c r="K959" s="161">
        <v>50000</v>
      </c>
    </row>
    <row r="960" spans="1:11" ht="30" customHeight="1" x14ac:dyDescent="0.25">
      <c r="A960" s="60">
        <v>959</v>
      </c>
      <c r="B960" s="60">
        <v>220905314</v>
      </c>
      <c r="C960" s="159" t="s">
        <v>1764</v>
      </c>
      <c r="D960" s="60">
        <v>9.2899999999999991</v>
      </c>
      <c r="E960" s="60">
        <v>9910325307</v>
      </c>
      <c r="F960" s="60" t="s">
        <v>1765</v>
      </c>
      <c r="G960" s="60" t="s">
        <v>256</v>
      </c>
      <c r="H960" s="60" t="s">
        <v>159</v>
      </c>
      <c r="I960" s="60" t="s">
        <v>21</v>
      </c>
      <c r="K960" s="161">
        <v>50000</v>
      </c>
    </row>
    <row r="961" spans="1:11" ht="30" customHeight="1" x14ac:dyDescent="0.25">
      <c r="A961" s="60">
        <v>960</v>
      </c>
      <c r="B961" s="60">
        <v>220905524</v>
      </c>
      <c r="C961" s="159" t="s">
        <v>1766</v>
      </c>
      <c r="D961" s="60">
        <v>8.23</v>
      </c>
      <c r="E961" s="60">
        <v>8368617372</v>
      </c>
      <c r="F961" s="60" t="s">
        <v>1767</v>
      </c>
      <c r="G961" s="60" t="s">
        <v>256</v>
      </c>
      <c r="H961" s="60" t="s">
        <v>159</v>
      </c>
      <c r="I961" s="60" t="s">
        <v>21</v>
      </c>
      <c r="K961" s="161">
        <v>50000</v>
      </c>
    </row>
    <row r="962" spans="1:11" ht="30" customHeight="1" x14ac:dyDescent="0.25">
      <c r="A962" s="60">
        <v>961</v>
      </c>
      <c r="B962" s="60">
        <v>220905390</v>
      </c>
      <c r="C962" s="159" t="s">
        <v>1768</v>
      </c>
      <c r="D962" s="60">
        <v>8.19</v>
      </c>
      <c r="E962" s="60">
        <v>8291023073</v>
      </c>
      <c r="F962" s="60" t="s">
        <v>1769</v>
      </c>
      <c r="G962" s="60" t="s">
        <v>256</v>
      </c>
      <c r="H962" s="60" t="s">
        <v>159</v>
      </c>
      <c r="I962" s="60" t="s">
        <v>21</v>
      </c>
      <c r="K962" s="161">
        <v>50000</v>
      </c>
    </row>
    <row r="963" spans="1:11" ht="30" customHeight="1" x14ac:dyDescent="0.25">
      <c r="A963" s="60">
        <v>962</v>
      </c>
      <c r="B963" s="60">
        <v>220905440</v>
      </c>
      <c r="C963" s="159" t="s">
        <v>1770</v>
      </c>
      <c r="D963" s="60">
        <v>8.06</v>
      </c>
      <c r="E963" s="60">
        <v>8096189254</v>
      </c>
      <c r="F963" s="60" t="s">
        <v>1771</v>
      </c>
      <c r="G963" s="60" t="s">
        <v>256</v>
      </c>
      <c r="H963" s="60" t="s">
        <v>159</v>
      </c>
      <c r="I963" s="60" t="s">
        <v>21</v>
      </c>
      <c r="K963" s="161">
        <v>50000</v>
      </c>
    </row>
    <row r="964" spans="1:11" ht="30" customHeight="1" x14ac:dyDescent="0.25">
      <c r="A964" s="60">
        <v>963</v>
      </c>
      <c r="B964" s="60">
        <v>220905406</v>
      </c>
      <c r="C964" s="159" t="s">
        <v>1118</v>
      </c>
      <c r="D964" s="60">
        <v>8.01</v>
      </c>
      <c r="E964" s="60">
        <v>7829422078</v>
      </c>
      <c r="F964" s="60" t="s">
        <v>1119</v>
      </c>
      <c r="G964" s="60" t="s">
        <v>256</v>
      </c>
      <c r="H964" s="60" t="s">
        <v>159</v>
      </c>
      <c r="I964" s="60" t="s">
        <v>21</v>
      </c>
      <c r="K964" s="161">
        <v>50000</v>
      </c>
    </row>
    <row r="965" spans="1:11" ht="30" customHeight="1" x14ac:dyDescent="0.25">
      <c r="A965" s="60">
        <v>964</v>
      </c>
      <c r="B965" s="60">
        <v>220905117</v>
      </c>
      <c r="C965" s="159" t="s">
        <v>1772</v>
      </c>
      <c r="D965" s="60">
        <v>7.72</v>
      </c>
      <c r="E965" s="60">
        <v>8360493330</v>
      </c>
      <c r="F965" s="60" t="s">
        <v>1773</v>
      </c>
      <c r="G965" s="60" t="s">
        <v>256</v>
      </c>
      <c r="H965" s="60" t="s">
        <v>159</v>
      </c>
      <c r="I965" s="60" t="s">
        <v>21</v>
      </c>
      <c r="K965" s="161">
        <v>50000</v>
      </c>
    </row>
    <row r="966" spans="1:11" ht="30" customHeight="1" x14ac:dyDescent="0.25">
      <c r="A966" s="60">
        <v>965</v>
      </c>
      <c r="B966" s="60">
        <v>220905480</v>
      </c>
      <c r="C966" s="159" t="s">
        <v>1774</v>
      </c>
      <c r="D966" s="60">
        <v>7.07</v>
      </c>
      <c r="E966" s="60">
        <v>9619356801</v>
      </c>
      <c r="F966" s="60" t="s">
        <v>1775</v>
      </c>
      <c r="G966" s="60" t="s">
        <v>256</v>
      </c>
      <c r="H966" s="60" t="s">
        <v>159</v>
      </c>
      <c r="I966" s="60" t="s">
        <v>21</v>
      </c>
      <c r="K966" s="161">
        <v>50000</v>
      </c>
    </row>
    <row r="967" spans="1:11" ht="30" customHeight="1" x14ac:dyDescent="0.25">
      <c r="A967" s="60">
        <v>966</v>
      </c>
      <c r="B967" s="60">
        <v>220962308</v>
      </c>
      <c r="C967" s="159" t="s">
        <v>1776</v>
      </c>
      <c r="D967" s="60">
        <v>9.35</v>
      </c>
      <c r="E967" s="60">
        <v>9108168772</v>
      </c>
      <c r="F967" s="60" t="s">
        <v>1777</v>
      </c>
      <c r="G967" s="60" t="s">
        <v>253</v>
      </c>
      <c r="H967" s="60" t="s">
        <v>159</v>
      </c>
      <c r="I967" s="60" t="s">
        <v>21</v>
      </c>
      <c r="K967" s="161">
        <v>50000</v>
      </c>
    </row>
    <row r="968" spans="1:11" ht="30" customHeight="1" x14ac:dyDescent="0.25">
      <c r="A968" s="60">
        <v>967</v>
      </c>
      <c r="B968" s="60">
        <v>220962098</v>
      </c>
      <c r="C968" s="159" t="s">
        <v>1778</v>
      </c>
      <c r="D968" s="60">
        <v>9.32</v>
      </c>
      <c r="E968" s="60">
        <v>9632477752</v>
      </c>
      <c r="F968" s="60" t="s">
        <v>1779</v>
      </c>
      <c r="G968" s="60" t="s">
        <v>253</v>
      </c>
      <c r="H968" s="60" t="s">
        <v>159</v>
      </c>
      <c r="I968" s="60" t="s">
        <v>21</v>
      </c>
      <c r="K968" s="161">
        <v>50000</v>
      </c>
    </row>
    <row r="969" spans="1:11" ht="30" customHeight="1" x14ac:dyDescent="0.25">
      <c r="A969" s="60">
        <v>968</v>
      </c>
      <c r="B969" s="60">
        <v>220962346</v>
      </c>
      <c r="C969" s="159" t="s">
        <v>1780</v>
      </c>
      <c r="D969" s="60">
        <v>8.44</v>
      </c>
      <c r="E969" s="60">
        <v>7318449410</v>
      </c>
      <c r="F969" s="60" t="s">
        <v>1781</v>
      </c>
      <c r="G969" s="60" t="s">
        <v>253</v>
      </c>
      <c r="H969" s="60" t="s">
        <v>159</v>
      </c>
      <c r="I969" s="60" t="s">
        <v>21</v>
      </c>
      <c r="K969" s="161">
        <v>50000</v>
      </c>
    </row>
    <row r="970" spans="1:11" ht="30" customHeight="1" x14ac:dyDescent="0.25">
      <c r="A970" s="60">
        <v>969</v>
      </c>
      <c r="B970" s="60">
        <v>220962426</v>
      </c>
      <c r="C970" s="159" t="s">
        <v>1112</v>
      </c>
      <c r="D970" s="60">
        <v>8.4</v>
      </c>
      <c r="E970" s="60">
        <v>8296504913</v>
      </c>
      <c r="F970" s="60" t="s">
        <v>1113</v>
      </c>
      <c r="G970" s="60" t="s">
        <v>253</v>
      </c>
      <c r="H970" s="60" t="s">
        <v>159</v>
      </c>
      <c r="I970" s="60" t="s">
        <v>21</v>
      </c>
      <c r="K970" s="161">
        <v>50000</v>
      </c>
    </row>
    <row r="971" spans="1:11" ht="30" customHeight="1" x14ac:dyDescent="0.25">
      <c r="A971" s="60">
        <v>970</v>
      </c>
      <c r="B971" s="60">
        <v>220961162</v>
      </c>
      <c r="C971" s="159" t="s">
        <v>1782</v>
      </c>
      <c r="D971" s="60">
        <v>6.5</v>
      </c>
      <c r="E971" s="60">
        <v>6303784576</v>
      </c>
      <c r="F971" s="60" t="s">
        <v>1783</v>
      </c>
      <c r="G971" s="60" t="s">
        <v>541</v>
      </c>
      <c r="H971" s="60" t="s">
        <v>159</v>
      </c>
      <c r="I971" s="60" t="s">
        <v>21</v>
      </c>
      <c r="K971" s="161">
        <v>50000</v>
      </c>
    </row>
    <row r="972" spans="1:11" ht="30" customHeight="1" x14ac:dyDescent="0.25">
      <c r="A972" s="60">
        <v>971</v>
      </c>
      <c r="B972" s="60">
        <v>220968006</v>
      </c>
      <c r="C972" s="159" t="s">
        <v>1784</v>
      </c>
      <c r="D972" s="60">
        <v>8.66</v>
      </c>
      <c r="E972" s="60">
        <v>9591836576</v>
      </c>
      <c r="F972" s="60" t="s">
        <v>1785</v>
      </c>
      <c r="G972" s="60" t="s">
        <v>384</v>
      </c>
      <c r="H972" s="60" t="s">
        <v>159</v>
      </c>
      <c r="I972" s="60" t="s">
        <v>21</v>
      </c>
      <c r="K972" s="161">
        <v>50000</v>
      </c>
    </row>
    <row r="973" spans="1:11" ht="30" customHeight="1" x14ac:dyDescent="0.25">
      <c r="A973" s="60">
        <v>972</v>
      </c>
      <c r="B973" s="60">
        <v>220968192</v>
      </c>
      <c r="C973" s="159" t="s">
        <v>1786</v>
      </c>
      <c r="D973" s="60">
        <v>8.23</v>
      </c>
      <c r="E973" s="60">
        <v>8118805646</v>
      </c>
      <c r="F973" s="60" t="s">
        <v>1787</v>
      </c>
      <c r="G973" s="60" t="s">
        <v>384</v>
      </c>
      <c r="H973" s="60" t="s">
        <v>159</v>
      </c>
      <c r="I973" s="60" t="s">
        <v>21</v>
      </c>
      <c r="K973" s="161">
        <v>50000</v>
      </c>
    </row>
    <row r="974" spans="1:11" ht="30" customHeight="1" x14ac:dyDescent="0.25">
      <c r="A974" s="60">
        <v>973</v>
      </c>
      <c r="B974" s="60">
        <v>220968322</v>
      </c>
      <c r="C974" s="159" t="s">
        <v>1788</v>
      </c>
      <c r="D974" s="60">
        <v>7.68</v>
      </c>
      <c r="E974" s="60">
        <v>9947589630</v>
      </c>
      <c r="F974" s="60" t="s">
        <v>1789</v>
      </c>
      <c r="G974" s="60" t="s">
        <v>384</v>
      </c>
      <c r="H974" s="60" t="s">
        <v>159</v>
      </c>
      <c r="I974" s="60" t="s">
        <v>21</v>
      </c>
      <c r="K974" s="161">
        <v>50000</v>
      </c>
    </row>
    <row r="975" spans="1:11" ht="30" customHeight="1" x14ac:dyDescent="0.25">
      <c r="A975" s="60">
        <v>974</v>
      </c>
      <c r="B975" s="60">
        <v>220968300</v>
      </c>
      <c r="C975" s="159" t="s">
        <v>1790</v>
      </c>
      <c r="D975" s="60">
        <v>7.31</v>
      </c>
      <c r="E975" s="60">
        <v>7995650603</v>
      </c>
      <c r="F975" s="60" t="s">
        <v>1791</v>
      </c>
      <c r="G975" s="60" t="s">
        <v>384</v>
      </c>
      <c r="H975" s="60" t="s">
        <v>159</v>
      </c>
      <c r="I975" s="60" t="s">
        <v>21</v>
      </c>
      <c r="K975" s="161">
        <v>50000</v>
      </c>
    </row>
    <row r="976" spans="1:11" ht="30" customHeight="1" x14ac:dyDescent="0.25">
      <c r="A976" s="60">
        <v>975</v>
      </c>
      <c r="B976" s="60">
        <v>220911546</v>
      </c>
      <c r="C976" s="159" t="s">
        <v>1290</v>
      </c>
      <c r="D976" s="60">
        <v>8.92</v>
      </c>
      <c r="E976" s="60">
        <v>7820017015</v>
      </c>
      <c r="F976" s="60" t="s">
        <v>1291</v>
      </c>
      <c r="G976" s="60" t="s">
        <v>274</v>
      </c>
      <c r="H976" s="60" t="s">
        <v>159</v>
      </c>
      <c r="I976" s="60" t="s">
        <v>21</v>
      </c>
      <c r="K976" s="161">
        <v>50000</v>
      </c>
    </row>
    <row r="977" spans="1:11" ht="30" customHeight="1" x14ac:dyDescent="0.25">
      <c r="A977" s="60">
        <v>976</v>
      </c>
      <c r="B977" s="60">
        <v>220911454</v>
      </c>
      <c r="C977" s="159" t="s">
        <v>1792</v>
      </c>
      <c r="D977" s="60">
        <v>8.75</v>
      </c>
      <c r="E977" s="60">
        <v>7026062298</v>
      </c>
      <c r="F977" s="60" t="s">
        <v>1793</v>
      </c>
      <c r="G977" s="60" t="s">
        <v>274</v>
      </c>
      <c r="H977" s="60" t="s">
        <v>159</v>
      </c>
      <c r="I977" s="60" t="s">
        <v>21</v>
      </c>
      <c r="K977" s="161">
        <v>50000</v>
      </c>
    </row>
    <row r="978" spans="1:11" ht="30" customHeight="1" x14ac:dyDescent="0.25">
      <c r="A978" s="60">
        <v>977</v>
      </c>
      <c r="B978" s="60">
        <v>220968176</v>
      </c>
      <c r="C978" s="159" t="s">
        <v>1794</v>
      </c>
      <c r="D978" s="60">
        <v>7.54</v>
      </c>
      <c r="E978" s="60">
        <v>9346330630</v>
      </c>
      <c r="F978" s="60" t="s">
        <v>1795</v>
      </c>
      <c r="G978" s="60" t="s">
        <v>384</v>
      </c>
      <c r="H978" s="60" t="s">
        <v>159</v>
      </c>
      <c r="I978" s="60" t="s">
        <v>21</v>
      </c>
      <c r="K978" s="161">
        <v>50000</v>
      </c>
    </row>
    <row r="979" spans="1:11" ht="30" customHeight="1" x14ac:dyDescent="0.25">
      <c r="A979" s="60">
        <v>978</v>
      </c>
      <c r="B979" s="60">
        <v>220924100</v>
      </c>
      <c r="C979" s="60" t="s">
        <v>1796</v>
      </c>
      <c r="D979" s="60">
        <v>7.55</v>
      </c>
      <c r="E979" s="60">
        <v>9945719894</v>
      </c>
      <c r="F979" s="60" t="s">
        <v>1797</v>
      </c>
      <c r="G979" s="60" t="s">
        <v>964</v>
      </c>
      <c r="H979" s="60" t="s">
        <v>1798</v>
      </c>
      <c r="I979" s="60" t="s">
        <v>21</v>
      </c>
      <c r="K979" s="161">
        <v>45000</v>
      </c>
    </row>
    <row r="980" spans="1:11" ht="30" customHeight="1" x14ac:dyDescent="0.25">
      <c r="A980" s="60">
        <v>979</v>
      </c>
      <c r="B980" s="60">
        <v>220953518</v>
      </c>
      <c r="C980" s="60" t="s">
        <v>1799</v>
      </c>
      <c r="D980" s="60">
        <v>8.17</v>
      </c>
      <c r="E980" s="60">
        <v>7892961009</v>
      </c>
      <c r="F980" s="60" t="s">
        <v>1800</v>
      </c>
      <c r="G980" s="60" t="s">
        <v>261</v>
      </c>
      <c r="H980" s="60" t="s">
        <v>1798</v>
      </c>
      <c r="I980" s="60" t="s">
        <v>21</v>
      </c>
      <c r="K980" s="161">
        <v>45000</v>
      </c>
    </row>
    <row r="981" spans="1:11" ht="30" customHeight="1" x14ac:dyDescent="0.25">
      <c r="A981" s="60">
        <v>980</v>
      </c>
      <c r="B981" s="60">
        <v>220953566</v>
      </c>
      <c r="C981" s="60" t="s">
        <v>1801</v>
      </c>
      <c r="D981" s="60">
        <v>7.55</v>
      </c>
      <c r="E981" s="60">
        <v>9833550902</v>
      </c>
      <c r="F981" s="60" t="s">
        <v>1802</v>
      </c>
      <c r="G981" s="60" t="s">
        <v>261</v>
      </c>
      <c r="H981" s="60" t="s">
        <v>1798</v>
      </c>
      <c r="I981" s="60" t="s">
        <v>21</v>
      </c>
      <c r="K981" s="161">
        <v>45000</v>
      </c>
    </row>
    <row r="982" spans="1:11" ht="30" customHeight="1" x14ac:dyDescent="0.25">
      <c r="A982" s="60">
        <v>981</v>
      </c>
      <c r="B982" s="60">
        <v>220953562</v>
      </c>
      <c r="C982" s="60" t="s">
        <v>1803</v>
      </c>
      <c r="D982" s="60">
        <v>6.71</v>
      </c>
      <c r="E982" s="60">
        <v>8792316836</v>
      </c>
      <c r="F982" s="60" t="s">
        <v>1804</v>
      </c>
      <c r="G982" s="60" t="s">
        <v>261</v>
      </c>
      <c r="H982" s="60" t="s">
        <v>1798</v>
      </c>
      <c r="I982" s="60" t="s">
        <v>21</v>
      </c>
      <c r="K982" s="161">
        <v>45000</v>
      </c>
    </row>
    <row r="983" spans="1:11" ht="30" customHeight="1" x14ac:dyDescent="0.25">
      <c r="A983" s="60">
        <v>982</v>
      </c>
      <c r="B983" s="60">
        <v>220962416</v>
      </c>
      <c r="C983" s="60" t="s">
        <v>1805</v>
      </c>
      <c r="D983" s="60">
        <v>9.3000000000000007</v>
      </c>
      <c r="E983" s="60">
        <v>7977063540</v>
      </c>
      <c r="F983" s="60" t="s">
        <v>1806</v>
      </c>
      <c r="G983" s="60" t="s">
        <v>253</v>
      </c>
      <c r="H983" s="60" t="s">
        <v>1798</v>
      </c>
      <c r="I983" s="60" t="s">
        <v>21</v>
      </c>
      <c r="K983" s="161">
        <v>45000</v>
      </c>
    </row>
    <row r="984" spans="1:11" ht="30" customHeight="1" x14ac:dyDescent="0.25">
      <c r="A984" s="60">
        <v>983</v>
      </c>
      <c r="B984" s="60">
        <v>220961042</v>
      </c>
      <c r="C984" s="60" t="s">
        <v>1807</v>
      </c>
      <c r="D984" s="60">
        <v>7.39</v>
      </c>
      <c r="E984" s="60">
        <v>9892408028</v>
      </c>
      <c r="F984" s="60" t="s">
        <v>1808</v>
      </c>
      <c r="G984" s="60" t="s">
        <v>541</v>
      </c>
      <c r="H984" s="60" t="s">
        <v>1798</v>
      </c>
      <c r="I984" s="60" t="s">
        <v>21</v>
      </c>
      <c r="K984" s="161">
        <v>45000</v>
      </c>
    </row>
    <row r="985" spans="1:11" ht="30" customHeight="1" x14ac:dyDescent="0.25">
      <c r="A985" s="60">
        <v>984</v>
      </c>
      <c r="B985" s="60">
        <v>220968052</v>
      </c>
      <c r="C985" s="60" t="s">
        <v>1809</v>
      </c>
      <c r="D985" s="60">
        <v>8.66</v>
      </c>
      <c r="E985" s="60">
        <v>7588020972</v>
      </c>
      <c r="F985" s="60" t="s">
        <v>1810</v>
      </c>
      <c r="G985" s="60" t="s">
        <v>384</v>
      </c>
      <c r="H985" s="60" t="s">
        <v>1798</v>
      </c>
      <c r="I985" s="60" t="s">
        <v>21</v>
      </c>
      <c r="K985" s="161">
        <v>45000</v>
      </c>
    </row>
    <row r="986" spans="1:11" ht="30" customHeight="1" x14ac:dyDescent="0.25">
      <c r="A986" s="60">
        <v>985</v>
      </c>
      <c r="B986" s="60">
        <v>220968326</v>
      </c>
      <c r="C986" s="60" t="s">
        <v>1811</v>
      </c>
      <c r="D986" s="60">
        <v>8.5</v>
      </c>
      <c r="E986" s="60">
        <v>9325514946</v>
      </c>
      <c r="F986" s="60" t="s">
        <v>1812</v>
      </c>
      <c r="G986" s="60" t="s">
        <v>384</v>
      </c>
      <c r="H986" s="60" t="s">
        <v>1798</v>
      </c>
      <c r="I986" s="60" t="s">
        <v>21</v>
      </c>
      <c r="K986" s="161">
        <v>45000</v>
      </c>
    </row>
    <row r="987" spans="1:11" ht="30" customHeight="1" x14ac:dyDescent="0.25">
      <c r="A987" s="60">
        <v>986</v>
      </c>
      <c r="B987" s="60">
        <v>220906610</v>
      </c>
      <c r="C987" s="60" t="s">
        <v>1813</v>
      </c>
      <c r="D987" s="60">
        <v>6.89</v>
      </c>
      <c r="E987" s="60">
        <v>6299203752</v>
      </c>
      <c r="F987" s="60" t="s">
        <v>1814</v>
      </c>
      <c r="G987" s="60" t="s">
        <v>478</v>
      </c>
      <c r="H987" s="60" t="s">
        <v>1798</v>
      </c>
      <c r="I987" s="60" t="s">
        <v>21</v>
      </c>
      <c r="K987" s="161">
        <v>45000</v>
      </c>
    </row>
    <row r="988" spans="1:11" ht="30" customHeight="1" x14ac:dyDescent="0.25">
      <c r="A988" s="60">
        <v>987</v>
      </c>
      <c r="B988" s="60">
        <v>220911080</v>
      </c>
      <c r="C988" s="60" t="s">
        <v>1116</v>
      </c>
      <c r="D988" s="60">
        <v>8.02</v>
      </c>
      <c r="E988" s="60">
        <v>7722069580</v>
      </c>
      <c r="F988" s="60" t="s">
        <v>1117</v>
      </c>
      <c r="G988" s="60" t="s">
        <v>274</v>
      </c>
      <c r="H988" s="60" t="s">
        <v>1798</v>
      </c>
      <c r="I988" s="60" t="s">
        <v>21</v>
      </c>
      <c r="K988" s="161">
        <v>45000</v>
      </c>
    </row>
    <row r="989" spans="1:11" ht="30" customHeight="1" x14ac:dyDescent="0.25">
      <c r="A989" s="60">
        <v>988</v>
      </c>
      <c r="B989" s="60">
        <v>220911622</v>
      </c>
      <c r="C989" s="60" t="s">
        <v>1815</v>
      </c>
      <c r="D989" s="60">
        <v>7.77</v>
      </c>
      <c r="E989" s="60">
        <v>9810075436</v>
      </c>
      <c r="F989" s="60" t="s">
        <v>1816</v>
      </c>
      <c r="G989" s="60" t="s">
        <v>274</v>
      </c>
      <c r="H989" s="60" t="s">
        <v>1798</v>
      </c>
      <c r="I989" s="60" t="s">
        <v>21</v>
      </c>
      <c r="K989" s="161">
        <v>45000</v>
      </c>
    </row>
    <row r="990" spans="1:11" ht="30" customHeight="1" x14ac:dyDescent="0.25">
      <c r="A990" s="60">
        <v>989</v>
      </c>
      <c r="B990" s="60">
        <v>220911372</v>
      </c>
      <c r="C990" s="60" t="s">
        <v>1817</v>
      </c>
      <c r="D990" s="60">
        <v>7.54</v>
      </c>
      <c r="E990" s="60">
        <v>7210456521</v>
      </c>
      <c r="F990" s="60" t="s">
        <v>1818</v>
      </c>
      <c r="G990" s="60" t="s">
        <v>274</v>
      </c>
      <c r="H990" s="60" t="s">
        <v>1798</v>
      </c>
      <c r="I990" s="60" t="s">
        <v>21</v>
      </c>
      <c r="K990" s="161">
        <v>45000</v>
      </c>
    </row>
    <row r="991" spans="1:11" ht="30" customHeight="1" x14ac:dyDescent="0.25">
      <c r="A991" s="60">
        <v>990</v>
      </c>
      <c r="B991" s="60">
        <v>220929184</v>
      </c>
      <c r="C991" s="60" t="s">
        <v>1819</v>
      </c>
      <c r="D991" s="60">
        <v>6.3</v>
      </c>
      <c r="E991" s="60">
        <v>9673516316</v>
      </c>
      <c r="F991" s="60" t="s">
        <v>1820</v>
      </c>
      <c r="G991" s="60" t="s">
        <v>317</v>
      </c>
      <c r="H991" s="60" t="s">
        <v>1798</v>
      </c>
      <c r="I991" s="60" t="s">
        <v>21</v>
      </c>
      <c r="K991" s="161">
        <v>45000</v>
      </c>
    </row>
    <row r="992" spans="1:11" ht="30" customHeight="1" x14ac:dyDescent="0.25">
      <c r="A992" s="60">
        <v>991</v>
      </c>
      <c r="B992" s="60">
        <v>220929106</v>
      </c>
      <c r="C992" s="60" t="s">
        <v>1821</v>
      </c>
      <c r="D992" s="60">
        <v>6.26</v>
      </c>
      <c r="E992" s="60">
        <v>9930023831</v>
      </c>
      <c r="F992" s="60" t="s">
        <v>1822</v>
      </c>
      <c r="G992" s="60" t="s">
        <v>317</v>
      </c>
      <c r="H992" s="60" t="s">
        <v>1798</v>
      </c>
      <c r="I992" s="60" t="s">
        <v>21</v>
      </c>
      <c r="K992" s="161">
        <v>45000</v>
      </c>
    </row>
    <row r="993" spans="1:11" ht="30" customHeight="1" x14ac:dyDescent="0.25">
      <c r="A993" s="60">
        <v>992</v>
      </c>
      <c r="B993" s="159">
        <v>220905114</v>
      </c>
      <c r="C993" s="159" t="s">
        <v>1823</v>
      </c>
      <c r="D993" s="160">
        <v>6.37</v>
      </c>
      <c r="E993" s="159">
        <v>6205624735</v>
      </c>
      <c r="F993" s="159" t="s">
        <v>1824</v>
      </c>
      <c r="G993" s="159" t="s">
        <v>256</v>
      </c>
      <c r="H993" s="60" t="s">
        <v>164</v>
      </c>
      <c r="I993" s="60" t="s">
        <v>21</v>
      </c>
      <c r="K993" s="161">
        <v>70000</v>
      </c>
    </row>
    <row r="994" spans="1:11" ht="30" customHeight="1" x14ac:dyDescent="0.25">
      <c r="A994" s="60">
        <v>993</v>
      </c>
      <c r="B994" s="60">
        <v>220905274</v>
      </c>
      <c r="C994" s="60" t="s">
        <v>1825</v>
      </c>
      <c r="D994" s="60">
        <v>8.64</v>
      </c>
      <c r="E994" s="60">
        <v>9100431308</v>
      </c>
      <c r="F994" s="60" t="s">
        <v>1826</v>
      </c>
      <c r="G994" s="60" t="s">
        <v>256</v>
      </c>
      <c r="H994" s="60" t="s">
        <v>169</v>
      </c>
      <c r="I994" s="60" t="s">
        <v>21</v>
      </c>
      <c r="K994" s="161">
        <v>40000</v>
      </c>
    </row>
    <row r="995" spans="1:11" ht="30" customHeight="1" x14ac:dyDescent="0.25">
      <c r="A995" s="60">
        <v>994</v>
      </c>
      <c r="B995" s="60">
        <v>220905022</v>
      </c>
      <c r="C995" s="60" t="s">
        <v>1274</v>
      </c>
      <c r="D995" s="60">
        <v>8.57</v>
      </c>
      <c r="E995" s="60">
        <v>9902361375</v>
      </c>
      <c r="F995" s="60" t="s">
        <v>1275</v>
      </c>
      <c r="G995" s="60" t="s">
        <v>256</v>
      </c>
      <c r="H995" s="60" t="s">
        <v>169</v>
      </c>
      <c r="I995" s="60" t="s">
        <v>21</v>
      </c>
      <c r="K995" s="161">
        <v>40000</v>
      </c>
    </row>
    <row r="996" spans="1:11" ht="30" customHeight="1" x14ac:dyDescent="0.25">
      <c r="A996" s="60">
        <v>995</v>
      </c>
      <c r="B996" s="60">
        <v>220905233</v>
      </c>
      <c r="C996" s="60" t="s">
        <v>1827</v>
      </c>
      <c r="D996" s="60">
        <v>8.26</v>
      </c>
      <c r="E996" s="60">
        <v>9594651955</v>
      </c>
      <c r="F996" s="60" t="s">
        <v>1828</v>
      </c>
      <c r="G996" s="60" t="s">
        <v>256</v>
      </c>
      <c r="H996" s="60" t="s">
        <v>169</v>
      </c>
      <c r="I996" s="60" t="s">
        <v>21</v>
      </c>
      <c r="K996" s="161">
        <v>40000</v>
      </c>
    </row>
    <row r="997" spans="1:11" ht="30" customHeight="1" x14ac:dyDescent="0.25">
      <c r="A997" s="60">
        <v>996</v>
      </c>
      <c r="B997" s="60">
        <v>220962362</v>
      </c>
      <c r="C997" s="60" t="s">
        <v>1829</v>
      </c>
      <c r="D997" s="60">
        <v>8.33</v>
      </c>
      <c r="E997" s="60">
        <v>9819542467</v>
      </c>
      <c r="F997" s="60" t="s">
        <v>1830</v>
      </c>
      <c r="G997" s="60" t="s">
        <v>253</v>
      </c>
      <c r="H997" s="60" t="s">
        <v>169</v>
      </c>
      <c r="I997" s="60" t="s">
        <v>21</v>
      </c>
      <c r="K997" s="161">
        <v>40000</v>
      </c>
    </row>
    <row r="998" spans="1:11" ht="30" customHeight="1" x14ac:dyDescent="0.25">
      <c r="A998" s="60">
        <v>997</v>
      </c>
      <c r="B998" s="60">
        <v>220911346</v>
      </c>
      <c r="C998" s="60" t="s">
        <v>1294</v>
      </c>
      <c r="D998" s="60">
        <v>7.93</v>
      </c>
      <c r="E998" s="60">
        <v>8057456490</v>
      </c>
      <c r="F998" s="60" t="s">
        <v>1295</v>
      </c>
      <c r="G998" s="60" t="s">
        <v>274</v>
      </c>
      <c r="H998" s="60" t="s">
        <v>169</v>
      </c>
      <c r="I998" s="60" t="s">
        <v>21</v>
      </c>
      <c r="K998" s="161">
        <v>40000</v>
      </c>
    </row>
    <row r="999" spans="1:11" ht="30" customHeight="1" x14ac:dyDescent="0.25">
      <c r="A999" s="60">
        <v>998</v>
      </c>
      <c r="B999" s="60">
        <v>220911508</v>
      </c>
      <c r="C999" s="60" t="s">
        <v>1831</v>
      </c>
      <c r="D999" s="60">
        <v>8.2799999999999994</v>
      </c>
      <c r="E999" s="60">
        <v>6302133702</v>
      </c>
      <c r="F999" s="60" t="s">
        <v>1832</v>
      </c>
      <c r="G999" s="60" t="s">
        <v>274</v>
      </c>
      <c r="H999" s="60" t="s">
        <v>169</v>
      </c>
      <c r="I999" s="60" t="s">
        <v>21</v>
      </c>
      <c r="K999" s="161">
        <v>40000</v>
      </c>
    </row>
    <row r="1000" spans="1:11" ht="30" customHeight="1" x14ac:dyDescent="0.25">
      <c r="A1000" s="60">
        <v>999</v>
      </c>
      <c r="B1000" s="60">
        <v>220911650</v>
      </c>
      <c r="C1000" s="60" t="s">
        <v>1833</v>
      </c>
      <c r="D1000" s="60">
        <v>7.6</v>
      </c>
      <c r="E1000" s="60">
        <v>8840430941</v>
      </c>
      <c r="F1000" s="60" t="s">
        <v>1834</v>
      </c>
      <c r="G1000" s="60" t="s">
        <v>274</v>
      </c>
      <c r="H1000" s="60" t="s">
        <v>169</v>
      </c>
      <c r="I1000" s="60" t="s">
        <v>21</v>
      </c>
      <c r="K1000" s="161">
        <v>40000</v>
      </c>
    </row>
    <row r="1001" spans="1:11" ht="30" customHeight="1" x14ac:dyDescent="0.25">
      <c r="A1001" s="60">
        <v>1000</v>
      </c>
      <c r="B1001" s="60">
        <v>220953680</v>
      </c>
      <c r="C1001" s="60" t="s">
        <v>1835</v>
      </c>
      <c r="D1001" s="60">
        <v>8.3000000000000007</v>
      </c>
      <c r="E1001" s="60">
        <v>9945160290</v>
      </c>
      <c r="F1001" s="60" t="s">
        <v>1836</v>
      </c>
      <c r="G1001" s="60" t="s">
        <v>261</v>
      </c>
      <c r="H1001" s="60" t="s">
        <v>171</v>
      </c>
      <c r="I1001" s="60" t="s">
        <v>21</v>
      </c>
      <c r="K1001" s="161">
        <v>25000</v>
      </c>
    </row>
    <row r="1002" spans="1:11" ht="30" customHeight="1" x14ac:dyDescent="0.25">
      <c r="A1002" s="60">
        <v>1001</v>
      </c>
      <c r="B1002" s="60">
        <v>220953528</v>
      </c>
      <c r="C1002" s="60" t="s">
        <v>1837</v>
      </c>
      <c r="D1002" s="60">
        <v>8.14</v>
      </c>
      <c r="E1002" s="60">
        <v>8296354888</v>
      </c>
      <c r="F1002" s="60" t="s">
        <v>1838</v>
      </c>
      <c r="G1002" s="60" t="s">
        <v>261</v>
      </c>
      <c r="H1002" s="60" t="s">
        <v>171</v>
      </c>
      <c r="I1002" s="60" t="s">
        <v>21</v>
      </c>
      <c r="K1002" s="161">
        <v>25000</v>
      </c>
    </row>
    <row r="1003" spans="1:11" ht="30" customHeight="1" x14ac:dyDescent="0.25">
      <c r="A1003" s="60">
        <v>1002</v>
      </c>
      <c r="B1003" s="60">
        <v>220968354</v>
      </c>
      <c r="C1003" s="60" t="s">
        <v>1839</v>
      </c>
      <c r="D1003" s="60">
        <v>7.47</v>
      </c>
      <c r="E1003" s="60">
        <v>7980562223</v>
      </c>
      <c r="F1003" s="60" t="s">
        <v>1840</v>
      </c>
      <c r="G1003" s="60" t="s">
        <v>384</v>
      </c>
      <c r="H1003" s="60" t="s">
        <v>171</v>
      </c>
      <c r="I1003" s="60" t="s">
        <v>21</v>
      </c>
      <c r="K1003" s="161">
        <v>25000</v>
      </c>
    </row>
    <row r="1004" spans="1:11" ht="30" customHeight="1" x14ac:dyDescent="0.25">
      <c r="A1004" s="60">
        <v>1003</v>
      </c>
      <c r="B1004" s="60">
        <v>220905025</v>
      </c>
      <c r="C1004" s="60" t="s">
        <v>1841</v>
      </c>
      <c r="D1004" s="60">
        <v>7.45</v>
      </c>
      <c r="E1004" s="60">
        <v>9790968643</v>
      </c>
      <c r="F1004" s="60" t="s">
        <v>1842</v>
      </c>
      <c r="G1004" s="60" t="s">
        <v>256</v>
      </c>
      <c r="H1004" s="60" t="s">
        <v>171</v>
      </c>
      <c r="I1004" s="60" t="s">
        <v>21</v>
      </c>
      <c r="K1004" s="161">
        <v>25000</v>
      </c>
    </row>
    <row r="1005" spans="1:11" ht="30" customHeight="1" x14ac:dyDescent="0.25">
      <c r="A1005" s="60">
        <v>1004</v>
      </c>
      <c r="B1005" s="60">
        <v>220905053</v>
      </c>
      <c r="C1005" s="60" t="s">
        <v>1843</v>
      </c>
      <c r="D1005" s="60">
        <v>8.91</v>
      </c>
      <c r="E1005" s="60">
        <v>9325473156</v>
      </c>
      <c r="F1005" s="60" t="s">
        <v>1844</v>
      </c>
      <c r="G1005" s="60" t="s">
        <v>256</v>
      </c>
      <c r="H1005" s="60" t="s">
        <v>171</v>
      </c>
      <c r="I1005" s="60" t="s">
        <v>21</v>
      </c>
      <c r="K1005" s="161">
        <v>25000</v>
      </c>
    </row>
    <row r="1006" spans="1:11" ht="30" customHeight="1" x14ac:dyDescent="0.25">
      <c r="A1006" s="60">
        <v>1005</v>
      </c>
      <c r="B1006" s="159">
        <v>220911482</v>
      </c>
      <c r="C1006" s="159" t="s">
        <v>1845</v>
      </c>
      <c r="D1006" s="160">
        <v>7.5</v>
      </c>
      <c r="E1006" s="159">
        <v>7011270573</v>
      </c>
      <c r="F1006" s="159" t="s">
        <v>1846</v>
      </c>
      <c r="G1006" s="159" t="s">
        <v>274</v>
      </c>
      <c r="H1006" s="60" t="s">
        <v>171</v>
      </c>
      <c r="I1006" s="60" t="s">
        <v>21</v>
      </c>
      <c r="K1006" s="161">
        <v>25000</v>
      </c>
    </row>
    <row r="1007" spans="1:11" ht="30" customHeight="1" x14ac:dyDescent="0.25">
      <c r="A1007" s="60">
        <v>1006</v>
      </c>
      <c r="B1007" s="60">
        <v>210962176</v>
      </c>
      <c r="C1007" s="60" t="s">
        <v>1847</v>
      </c>
      <c r="D1007" s="60">
        <v>7.63</v>
      </c>
      <c r="E1007" s="60">
        <v>9390705991</v>
      </c>
      <c r="F1007" s="60" t="s">
        <v>1848</v>
      </c>
      <c r="G1007" s="159" t="s">
        <v>253</v>
      </c>
      <c r="H1007" s="60" t="s">
        <v>171</v>
      </c>
      <c r="I1007" s="60" t="s">
        <v>21</v>
      </c>
      <c r="K1007" s="161">
        <v>25000</v>
      </c>
    </row>
    <row r="1008" spans="1:11" ht="30" customHeight="1" x14ac:dyDescent="0.25">
      <c r="A1008" s="60">
        <v>1007</v>
      </c>
      <c r="B1008" s="159">
        <v>220953632</v>
      </c>
      <c r="C1008" s="159" t="s">
        <v>1849</v>
      </c>
      <c r="D1008" s="160">
        <v>7.64</v>
      </c>
      <c r="E1008" s="159">
        <v>8469670070</v>
      </c>
      <c r="F1008" s="159" t="s">
        <v>1850</v>
      </c>
      <c r="G1008" s="159" t="s">
        <v>261</v>
      </c>
      <c r="H1008" s="60" t="s">
        <v>180</v>
      </c>
      <c r="I1008" s="60" t="s">
        <v>21</v>
      </c>
      <c r="K1008" s="161">
        <v>25000</v>
      </c>
    </row>
    <row r="1009" spans="1:11" ht="30" customHeight="1" x14ac:dyDescent="0.25">
      <c r="A1009" s="60">
        <v>1008</v>
      </c>
      <c r="B1009" s="60">
        <v>220953328</v>
      </c>
      <c r="C1009" s="60" t="s">
        <v>1851</v>
      </c>
      <c r="D1009" s="60">
        <v>7.26</v>
      </c>
      <c r="E1009" s="60">
        <v>7227976242</v>
      </c>
      <c r="F1009" s="60" t="s">
        <v>1852</v>
      </c>
      <c r="G1009" s="60" t="s">
        <v>261</v>
      </c>
      <c r="H1009" s="60" t="s">
        <v>184</v>
      </c>
      <c r="I1009" s="60" t="s">
        <v>21</v>
      </c>
      <c r="K1009" s="161">
        <v>15000</v>
      </c>
    </row>
    <row r="1010" spans="1:11" ht="30" customHeight="1" x14ac:dyDescent="0.25">
      <c r="A1010" s="60">
        <v>1009</v>
      </c>
      <c r="B1010" s="60">
        <v>220906574</v>
      </c>
      <c r="C1010" s="60" t="s">
        <v>1853</v>
      </c>
      <c r="D1010" s="60">
        <v>6.91</v>
      </c>
      <c r="E1010" s="60">
        <v>9954525108</v>
      </c>
      <c r="F1010" s="60" t="s">
        <v>1854</v>
      </c>
      <c r="G1010" s="60" t="s">
        <v>478</v>
      </c>
      <c r="H1010" s="60" t="s">
        <v>184</v>
      </c>
      <c r="I1010" s="60" t="s">
        <v>21</v>
      </c>
      <c r="K1010" s="161">
        <v>15000</v>
      </c>
    </row>
    <row r="1011" spans="1:11" ht="30" customHeight="1" x14ac:dyDescent="0.25">
      <c r="A1011" s="60">
        <v>1010</v>
      </c>
      <c r="B1011" s="60">
        <v>220911166</v>
      </c>
      <c r="C1011" s="60" t="s">
        <v>1855</v>
      </c>
      <c r="D1011" s="60">
        <v>6.6</v>
      </c>
      <c r="E1011" s="60">
        <v>7977191736</v>
      </c>
      <c r="F1011" s="60" t="s">
        <v>1856</v>
      </c>
      <c r="G1011" s="60" t="s">
        <v>274</v>
      </c>
      <c r="H1011" s="60" t="s">
        <v>184</v>
      </c>
      <c r="I1011" s="60" t="s">
        <v>21</v>
      </c>
      <c r="K1011" s="161">
        <v>15000</v>
      </c>
    </row>
    <row r="1012" spans="1:11" ht="30" customHeight="1" x14ac:dyDescent="0.25">
      <c r="A1012" s="60">
        <v>1011</v>
      </c>
      <c r="B1012" s="60">
        <v>220905223</v>
      </c>
      <c r="C1012" s="60" t="s">
        <v>1857</v>
      </c>
      <c r="D1012" s="60">
        <v>6.83</v>
      </c>
      <c r="E1012" s="60">
        <v>8088246223</v>
      </c>
      <c r="F1012" s="60" t="s">
        <v>1858</v>
      </c>
      <c r="G1012" s="60" t="s">
        <v>256</v>
      </c>
      <c r="H1012" s="60" t="s">
        <v>186</v>
      </c>
      <c r="I1012" s="60" t="s">
        <v>21</v>
      </c>
      <c r="K1012" s="161">
        <v>25000</v>
      </c>
    </row>
    <row r="1013" spans="1:11" ht="30" customHeight="1" x14ac:dyDescent="0.25">
      <c r="A1013" s="60">
        <v>1012</v>
      </c>
      <c r="B1013" s="60">
        <v>220933008</v>
      </c>
      <c r="C1013" s="60" t="s">
        <v>1859</v>
      </c>
      <c r="D1013" s="60">
        <v>8.5299999999999994</v>
      </c>
      <c r="E1013" s="60">
        <v>9108574555</v>
      </c>
      <c r="F1013" s="60" t="s">
        <v>1860</v>
      </c>
      <c r="G1013" s="60" t="s">
        <v>330</v>
      </c>
      <c r="H1013" s="60" t="s">
        <v>1861</v>
      </c>
      <c r="I1013" s="60" t="s">
        <v>21</v>
      </c>
      <c r="K1013" s="161">
        <v>27000</v>
      </c>
    </row>
    <row r="1014" spans="1:11" ht="30" customHeight="1" x14ac:dyDescent="0.25">
      <c r="A1014" s="60">
        <v>1013</v>
      </c>
      <c r="B1014" s="60">
        <v>220934020</v>
      </c>
      <c r="C1014" s="60" t="s">
        <v>1862</v>
      </c>
      <c r="D1014" s="60">
        <v>8.24</v>
      </c>
      <c r="E1014" s="60">
        <v>7077128657</v>
      </c>
      <c r="F1014" s="60" t="s">
        <v>1863</v>
      </c>
      <c r="G1014" s="60" t="s">
        <v>1139</v>
      </c>
      <c r="H1014" s="60" t="s">
        <v>1861</v>
      </c>
      <c r="I1014" s="60" t="s">
        <v>21</v>
      </c>
      <c r="K1014" s="161">
        <v>27000</v>
      </c>
    </row>
    <row r="1015" spans="1:11" ht="30" customHeight="1" x14ac:dyDescent="0.25">
      <c r="A1015" s="60">
        <v>1014</v>
      </c>
      <c r="B1015" s="60">
        <v>220932062</v>
      </c>
      <c r="C1015" s="60" t="s">
        <v>1864</v>
      </c>
      <c r="D1015" s="60">
        <v>6.67</v>
      </c>
      <c r="E1015" s="60">
        <v>7799788080</v>
      </c>
      <c r="F1015" s="60" t="s">
        <v>1865</v>
      </c>
      <c r="G1015" s="60" t="s">
        <v>289</v>
      </c>
      <c r="H1015" s="60" t="s">
        <v>1861</v>
      </c>
      <c r="I1015" s="60" t="s">
        <v>21</v>
      </c>
      <c r="K1015" s="161">
        <v>27000</v>
      </c>
    </row>
    <row r="1016" spans="1:11" ht="30" customHeight="1" x14ac:dyDescent="0.25">
      <c r="A1016" s="60">
        <v>1015</v>
      </c>
      <c r="B1016" s="60">
        <v>220953248</v>
      </c>
      <c r="C1016" s="60" t="s">
        <v>1866</v>
      </c>
      <c r="D1016" s="60">
        <v>8.36</v>
      </c>
      <c r="E1016" s="60">
        <v>9321797641</v>
      </c>
      <c r="F1016" s="60" t="s">
        <v>1867</v>
      </c>
      <c r="G1016" s="60" t="s">
        <v>261</v>
      </c>
      <c r="H1016" s="60" t="s">
        <v>1868</v>
      </c>
      <c r="I1016" s="60" t="s">
        <v>21</v>
      </c>
      <c r="K1016" s="161">
        <v>27000</v>
      </c>
    </row>
    <row r="1017" spans="1:11" ht="30" customHeight="1" x14ac:dyDescent="0.25">
      <c r="A1017" s="60">
        <v>1016</v>
      </c>
      <c r="B1017" s="60">
        <v>220953570</v>
      </c>
      <c r="C1017" s="60" t="s">
        <v>1869</v>
      </c>
      <c r="D1017" s="60">
        <v>6.23</v>
      </c>
      <c r="E1017" s="60">
        <v>8719995552</v>
      </c>
      <c r="F1017" s="60" t="s">
        <v>1870</v>
      </c>
      <c r="G1017" s="60" t="s">
        <v>261</v>
      </c>
      <c r="H1017" s="60" t="s">
        <v>1868</v>
      </c>
      <c r="I1017" s="60" t="s">
        <v>21</v>
      </c>
      <c r="K1017" s="161">
        <v>27000</v>
      </c>
    </row>
    <row r="1018" spans="1:11" ht="30" customHeight="1" x14ac:dyDescent="0.25">
      <c r="A1018" s="60">
        <v>1017</v>
      </c>
      <c r="B1018" s="60">
        <v>220905194</v>
      </c>
      <c r="C1018" s="60" t="s">
        <v>1871</v>
      </c>
      <c r="D1018" s="60">
        <v>6.24</v>
      </c>
      <c r="E1018" s="60">
        <v>9693820428</v>
      </c>
      <c r="F1018" s="60" t="s">
        <v>1872</v>
      </c>
      <c r="G1018" s="60" t="s">
        <v>256</v>
      </c>
      <c r="H1018" s="60" t="s">
        <v>1868</v>
      </c>
      <c r="I1018" s="60" t="s">
        <v>21</v>
      </c>
      <c r="K1018" s="161">
        <v>27000</v>
      </c>
    </row>
    <row r="1019" spans="1:11" ht="30" customHeight="1" x14ac:dyDescent="0.25">
      <c r="A1019" s="60">
        <v>1018</v>
      </c>
      <c r="B1019" s="60">
        <v>220961156</v>
      </c>
      <c r="C1019" s="60" t="s">
        <v>1873</v>
      </c>
      <c r="D1019" s="60">
        <v>7.88</v>
      </c>
      <c r="E1019" s="60">
        <v>8838219500</v>
      </c>
      <c r="F1019" s="60" t="s">
        <v>1874</v>
      </c>
      <c r="G1019" s="60" t="s">
        <v>541</v>
      </c>
      <c r="H1019" s="60" t="s">
        <v>1868</v>
      </c>
      <c r="I1019" s="60" t="s">
        <v>21</v>
      </c>
      <c r="K1019" s="161">
        <v>27000</v>
      </c>
    </row>
    <row r="1020" spans="1:11" ht="30" customHeight="1" x14ac:dyDescent="0.25">
      <c r="A1020" s="60">
        <v>1019</v>
      </c>
      <c r="B1020" s="60">
        <v>220909202</v>
      </c>
      <c r="C1020" s="60" t="s">
        <v>1875</v>
      </c>
      <c r="D1020" s="60">
        <v>6.85</v>
      </c>
      <c r="E1020" s="60">
        <v>9819882248</v>
      </c>
      <c r="F1020" s="60" t="s">
        <v>1876</v>
      </c>
      <c r="G1020" s="60" t="s">
        <v>312</v>
      </c>
      <c r="H1020" s="60" t="s">
        <v>1868</v>
      </c>
      <c r="I1020" s="60" t="s">
        <v>21</v>
      </c>
      <c r="K1020" s="161">
        <v>27000</v>
      </c>
    </row>
    <row r="1021" spans="1:11" ht="30" customHeight="1" x14ac:dyDescent="0.25">
      <c r="A1021" s="60">
        <v>1020</v>
      </c>
      <c r="B1021" s="60">
        <v>220962402</v>
      </c>
      <c r="C1021" s="60" t="s">
        <v>1877</v>
      </c>
      <c r="D1021" s="60">
        <v>6.36</v>
      </c>
      <c r="E1021" s="60">
        <v>9136077723</v>
      </c>
      <c r="F1021" s="60" t="s">
        <v>1878</v>
      </c>
      <c r="G1021" s="60" t="s">
        <v>253</v>
      </c>
      <c r="H1021" s="60" t="s">
        <v>1868</v>
      </c>
      <c r="I1021" s="60" t="s">
        <v>21</v>
      </c>
      <c r="K1021" s="161">
        <v>27000</v>
      </c>
    </row>
    <row r="1022" spans="1:11" ht="30" customHeight="1" x14ac:dyDescent="0.25">
      <c r="A1022" s="60">
        <v>1021</v>
      </c>
      <c r="B1022" s="60">
        <v>210907048</v>
      </c>
      <c r="C1022" s="60" t="s">
        <v>1879</v>
      </c>
      <c r="D1022" s="60">
        <v>6.15</v>
      </c>
      <c r="E1022" s="60">
        <v>7601994301</v>
      </c>
      <c r="F1022" s="60" t="s">
        <v>1880</v>
      </c>
      <c r="G1022" s="60" t="s">
        <v>277</v>
      </c>
      <c r="H1022" s="60" t="s">
        <v>1868</v>
      </c>
      <c r="I1022" s="60" t="s">
        <v>21</v>
      </c>
      <c r="K1022" s="161">
        <v>27000</v>
      </c>
    </row>
    <row r="1023" spans="1:11" ht="30" customHeight="1" x14ac:dyDescent="0.25">
      <c r="A1023" s="60">
        <v>1022</v>
      </c>
      <c r="B1023" s="60">
        <v>220902070</v>
      </c>
      <c r="C1023" s="60" t="s">
        <v>1881</v>
      </c>
      <c r="D1023" s="60">
        <v>6.13</v>
      </c>
      <c r="E1023" s="60">
        <v>9980258174</v>
      </c>
      <c r="F1023" s="60" t="s">
        <v>1882</v>
      </c>
      <c r="G1023" s="60" t="s">
        <v>1388</v>
      </c>
      <c r="H1023" s="60" t="s">
        <v>1883</v>
      </c>
      <c r="I1023" s="60" t="s">
        <v>21</v>
      </c>
      <c r="K1023" s="161">
        <v>27000</v>
      </c>
    </row>
    <row r="1024" spans="1:11" ht="30" customHeight="1" x14ac:dyDescent="0.25">
      <c r="A1024" s="60">
        <v>1023</v>
      </c>
      <c r="B1024" s="60">
        <v>220903001</v>
      </c>
      <c r="C1024" s="60" t="s">
        <v>1884</v>
      </c>
      <c r="D1024" s="60">
        <v>7.88</v>
      </c>
      <c r="E1024" s="60">
        <v>8951143745</v>
      </c>
      <c r="F1024" s="60" t="s">
        <v>1885</v>
      </c>
      <c r="G1024" s="60" t="s">
        <v>286</v>
      </c>
      <c r="H1024" s="60" t="s">
        <v>1886</v>
      </c>
      <c r="I1024" s="60" t="s">
        <v>21</v>
      </c>
      <c r="K1024" s="161">
        <v>27000</v>
      </c>
    </row>
    <row r="1025" spans="1:11" ht="30" customHeight="1" x14ac:dyDescent="0.25">
      <c r="A1025" s="60">
        <v>1024</v>
      </c>
      <c r="B1025" s="60">
        <v>220905094</v>
      </c>
      <c r="C1025" s="60" t="s">
        <v>1887</v>
      </c>
      <c r="D1025" s="60">
        <v>6.92</v>
      </c>
      <c r="E1025" s="60">
        <v>8384021078</v>
      </c>
      <c r="F1025" s="60" t="s">
        <v>1888</v>
      </c>
      <c r="G1025" s="60" t="s">
        <v>256</v>
      </c>
      <c r="H1025" s="60" t="s">
        <v>1883</v>
      </c>
      <c r="I1025" s="60" t="s">
        <v>21</v>
      </c>
      <c r="K1025" s="161">
        <v>27000</v>
      </c>
    </row>
    <row r="1026" spans="1:11" ht="30" customHeight="1" x14ac:dyDescent="0.25">
      <c r="A1026" s="60">
        <v>1025</v>
      </c>
      <c r="B1026" s="60">
        <v>220907510</v>
      </c>
      <c r="C1026" s="60" t="s">
        <v>1889</v>
      </c>
      <c r="D1026" s="60">
        <v>6.21</v>
      </c>
      <c r="E1026" s="60">
        <v>9108785759</v>
      </c>
      <c r="F1026" s="60" t="s">
        <v>1890</v>
      </c>
      <c r="G1026" s="60" t="s">
        <v>277</v>
      </c>
      <c r="H1026" s="60" t="s">
        <v>1883</v>
      </c>
      <c r="I1026" s="60" t="s">
        <v>21</v>
      </c>
      <c r="K1026" s="161">
        <v>27000</v>
      </c>
    </row>
    <row r="1027" spans="1:11" ht="30" customHeight="1" x14ac:dyDescent="0.25">
      <c r="A1027" s="60">
        <v>1026</v>
      </c>
      <c r="B1027" s="60">
        <v>220909330</v>
      </c>
      <c r="C1027" s="60" t="s">
        <v>1891</v>
      </c>
      <c r="D1027" s="60">
        <v>6.58</v>
      </c>
      <c r="E1027" s="60">
        <v>9820083095</v>
      </c>
      <c r="F1027" s="60" t="s">
        <v>1892</v>
      </c>
      <c r="G1027" s="60" t="s">
        <v>312</v>
      </c>
      <c r="H1027" s="60" t="s">
        <v>1883</v>
      </c>
      <c r="I1027" s="60" t="s">
        <v>21</v>
      </c>
      <c r="K1027" s="161">
        <v>27000</v>
      </c>
    </row>
    <row r="1028" spans="1:11" ht="30" customHeight="1" x14ac:dyDescent="0.25">
      <c r="A1028" s="60">
        <v>1027</v>
      </c>
      <c r="B1028" s="60">
        <v>220902020</v>
      </c>
      <c r="C1028" s="60" t="s">
        <v>1893</v>
      </c>
      <c r="D1028" s="60">
        <v>8.48</v>
      </c>
      <c r="E1028" s="60">
        <v>8669531609</v>
      </c>
      <c r="F1028" s="60" t="s">
        <v>1894</v>
      </c>
      <c r="G1028" s="60" t="s">
        <v>1388</v>
      </c>
      <c r="H1028" s="60" t="s">
        <v>188</v>
      </c>
      <c r="I1028" s="60" t="s">
        <v>21</v>
      </c>
      <c r="K1028" s="161">
        <v>24000</v>
      </c>
    </row>
    <row r="1029" spans="1:11" ht="30" customHeight="1" x14ac:dyDescent="0.25">
      <c r="A1029" s="60">
        <v>1028</v>
      </c>
      <c r="B1029" s="60">
        <v>220911286</v>
      </c>
      <c r="C1029" s="60" t="s">
        <v>1208</v>
      </c>
      <c r="D1029" s="60">
        <v>8.26</v>
      </c>
      <c r="E1029" s="60">
        <v>8356853394</v>
      </c>
      <c r="F1029" s="60" t="s">
        <v>1209</v>
      </c>
      <c r="G1029" s="60" t="s">
        <v>274</v>
      </c>
      <c r="H1029" s="60" t="s">
        <v>188</v>
      </c>
      <c r="I1029" s="60" t="s">
        <v>21</v>
      </c>
      <c r="K1029" s="161">
        <v>24000</v>
      </c>
    </row>
    <row r="1030" spans="1:11" ht="30" customHeight="1" x14ac:dyDescent="0.25">
      <c r="A1030" s="60">
        <v>1029</v>
      </c>
      <c r="B1030" s="60">
        <v>220909136</v>
      </c>
      <c r="C1030" s="60" t="s">
        <v>1895</v>
      </c>
      <c r="D1030" s="60">
        <v>7.51</v>
      </c>
      <c r="E1030" s="60">
        <v>9356361103</v>
      </c>
      <c r="F1030" s="60" t="s">
        <v>1896</v>
      </c>
      <c r="G1030" s="60" t="s">
        <v>312</v>
      </c>
      <c r="H1030" s="60" t="s">
        <v>188</v>
      </c>
      <c r="I1030" s="60" t="s">
        <v>21</v>
      </c>
      <c r="K1030" s="161">
        <v>24000</v>
      </c>
    </row>
    <row r="1031" spans="1:11" ht="30" customHeight="1" x14ac:dyDescent="0.25">
      <c r="A1031" s="60">
        <v>1030</v>
      </c>
      <c r="B1031" s="60">
        <v>220905474</v>
      </c>
      <c r="C1031" s="60" t="s">
        <v>1897</v>
      </c>
      <c r="D1031" s="60">
        <v>7.21</v>
      </c>
      <c r="E1031" s="60">
        <v>9515110270</v>
      </c>
      <c r="F1031" s="60" t="s">
        <v>1898</v>
      </c>
      <c r="G1031" s="60" t="s">
        <v>256</v>
      </c>
      <c r="H1031" s="60" t="s">
        <v>189</v>
      </c>
      <c r="I1031" s="60" t="s">
        <v>21</v>
      </c>
      <c r="K1031" s="161">
        <v>60000</v>
      </c>
    </row>
    <row r="1032" spans="1:11" ht="30" customHeight="1" x14ac:dyDescent="0.25">
      <c r="A1032" s="60">
        <v>1031</v>
      </c>
      <c r="B1032" s="60">
        <v>220905132</v>
      </c>
      <c r="C1032" s="60" t="s">
        <v>1899</v>
      </c>
      <c r="D1032" s="60">
        <v>7.36</v>
      </c>
      <c r="E1032" s="60">
        <v>8789043345</v>
      </c>
      <c r="F1032" s="60" t="s">
        <v>1900</v>
      </c>
      <c r="G1032" s="60" t="s">
        <v>256</v>
      </c>
      <c r="H1032" s="60" t="s">
        <v>189</v>
      </c>
      <c r="I1032" s="60" t="s">
        <v>21</v>
      </c>
      <c r="K1032" s="161">
        <v>60000</v>
      </c>
    </row>
    <row r="1033" spans="1:11" ht="30" customHeight="1" x14ac:dyDescent="0.25">
      <c r="A1033" s="60">
        <v>1032</v>
      </c>
      <c r="B1033" s="60">
        <v>220953478</v>
      </c>
      <c r="C1033" s="159" t="s">
        <v>1901</v>
      </c>
      <c r="D1033" s="60">
        <v>6.98</v>
      </c>
      <c r="E1033" s="60">
        <v>9310562652</v>
      </c>
      <c r="F1033" s="60" t="s">
        <v>1902</v>
      </c>
      <c r="G1033" s="60" t="s">
        <v>261</v>
      </c>
      <c r="H1033" s="60" t="s">
        <v>199</v>
      </c>
      <c r="I1033" s="60" t="s">
        <v>21</v>
      </c>
      <c r="K1033" s="161">
        <v>110000</v>
      </c>
    </row>
    <row r="1034" spans="1:11" ht="30" customHeight="1" x14ac:dyDescent="0.25">
      <c r="A1034" s="60">
        <v>1033</v>
      </c>
      <c r="B1034" s="60">
        <v>220905185</v>
      </c>
      <c r="C1034" s="159" t="s">
        <v>1903</v>
      </c>
      <c r="D1034" s="60">
        <v>6.95</v>
      </c>
      <c r="E1034" s="60">
        <v>9945056666</v>
      </c>
      <c r="F1034" s="60" t="s">
        <v>1904</v>
      </c>
      <c r="G1034" s="60" t="s">
        <v>256</v>
      </c>
      <c r="H1034" s="60" t="s">
        <v>199</v>
      </c>
      <c r="I1034" s="60" t="s">
        <v>21</v>
      </c>
      <c r="K1034" s="161">
        <v>110000</v>
      </c>
    </row>
    <row r="1035" spans="1:11" ht="30" customHeight="1" x14ac:dyDescent="0.25">
      <c r="A1035" s="60">
        <v>1034</v>
      </c>
      <c r="B1035" s="60">
        <v>220905084</v>
      </c>
      <c r="C1035" s="159" t="s">
        <v>1905</v>
      </c>
      <c r="D1035" s="60">
        <v>7.65</v>
      </c>
      <c r="E1035" s="60">
        <v>9664998661</v>
      </c>
      <c r="F1035" s="60" t="s">
        <v>1906</v>
      </c>
      <c r="G1035" s="60" t="s">
        <v>256</v>
      </c>
      <c r="H1035" s="60" t="s">
        <v>199</v>
      </c>
      <c r="I1035" s="60" t="s">
        <v>21</v>
      </c>
      <c r="K1035" s="161">
        <v>110000</v>
      </c>
    </row>
    <row r="1036" spans="1:11" ht="30" customHeight="1" x14ac:dyDescent="0.25">
      <c r="A1036" s="60">
        <v>1035</v>
      </c>
      <c r="B1036" s="60">
        <v>220962050</v>
      </c>
      <c r="C1036" s="159" t="s">
        <v>1907</v>
      </c>
      <c r="D1036" s="60">
        <v>6.57</v>
      </c>
      <c r="E1036" s="60">
        <v>9650984445</v>
      </c>
      <c r="F1036" s="60" t="s">
        <v>1908</v>
      </c>
      <c r="G1036" s="60" t="s">
        <v>253</v>
      </c>
      <c r="H1036" s="60" t="s">
        <v>199</v>
      </c>
      <c r="I1036" s="60" t="s">
        <v>21</v>
      </c>
      <c r="K1036" s="161">
        <v>110000</v>
      </c>
    </row>
    <row r="1037" spans="1:11" ht="30" customHeight="1" x14ac:dyDescent="0.25">
      <c r="A1037" s="60">
        <v>1036</v>
      </c>
      <c r="B1037" s="60">
        <v>220962390</v>
      </c>
      <c r="C1037" s="159" t="s">
        <v>1909</v>
      </c>
      <c r="D1037" s="60">
        <v>7.12</v>
      </c>
      <c r="E1037" s="60">
        <v>8651141117</v>
      </c>
      <c r="F1037" s="60" t="s">
        <v>1910</v>
      </c>
      <c r="G1037" s="60" t="s">
        <v>253</v>
      </c>
      <c r="H1037" s="60" t="s">
        <v>199</v>
      </c>
      <c r="I1037" s="60" t="s">
        <v>21</v>
      </c>
      <c r="K1037" s="161">
        <v>110000</v>
      </c>
    </row>
    <row r="1038" spans="1:11" ht="30" customHeight="1" x14ac:dyDescent="0.25">
      <c r="A1038" s="60">
        <v>1037</v>
      </c>
      <c r="B1038" s="60">
        <v>220968280</v>
      </c>
      <c r="C1038" s="159" t="s">
        <v>1284</v>
      </c>
      <c r="D1038" s="60">
        <v>8.7200000000000006</v>
      </c>
      <c r="E1038" s="60">
        <v>7022825747</v>
      </c>
      <c r="F1038" s="60" t="s">
        <v>1285</v>
      </c>
      <c r="G1038" s="60" t="s">
        <v>384</v>
      </c>
      <c r="H1038" s="60" t="s">
        <v>199</v>
      </c>
      <c r="I1038" s="60" t="s">
        <v>21</v>
      </c>
      <c r="K1038" s="161">
        <v>110000</v>
      </c>
    </row>
    <row r="1039" spans="1:11" ht="30" customHeight="1" x14ac:dyDescent="0.25">
      <c r="A1039" s="60">
        <v>1038</v>
      </c>
      <c r="B1039" s="60">
        <v>220968256</v>
      </c>
      <c r="C1039" s="159" t="s">
        <v>1911</v>
      </c>
      <c r="D1039" s="60">
        <v>6.57</v>
      </c>
      <c r="E1039" s="60">
        <v>9901500336</v>
      </c>
      <c r="F1039" s="60" t="s">
        <v>1912</v>
      </c>
      <c r="G1039" s="60" t="s">
        <v>384</v>
      </c>
      <c r="H1039" s="60" t="s">
        <v>199</v>
      </c>
      <c r="I1039" s="60" t="s">
        <v>21</v>
      </c>
      <c r="K1039" s="161">
        <v>110000</v>
      </c>
    </row>
    <row r="1040" spans="1:11" ht="30" customHeight="1" x14ac:dyDescent="0.25">
      <c r="A1040" s="60">
        <v>1039</v>
      </c>
      <c r="B1040" s="60">
        <v>220911306</v>
      </c>
      <c r="C1040" s="159" t="s">
        <v>1913</v>
      </c>
      <c r="D1040" s="60">
        <v>6.88</v>
      </c>
      <c r="E1040" s="60">
        <v>9108272014</v>
      </c>
      <c r="F1040" s="60" t="s">
        <v>1914</v>
      </c>
      <c r="G1040" s="60" t="s">
        <v>274</v>
      </c>
      <c r="H1040" s="60" t="s">
        <v>199</v>
      </c>
      <c r="I1040" s="60" t="s">
        <v>21</v>
      </c>
      <c r="K1040" s="161">
        <v>110000</v>
      </c>
    </row>
    <row r="1041" spans="1:11" ht="30" customHeight="1" x14ac:dyDescent="0.25">
      <c r="A1041" s="60">
        <v>1040</v>
      </c>
      <c r="B1041" s="60">
        <v>220905148</v>
      </c>
      <c r="C1041" s="60" t="s">
        <v>1915</v>
      </c>
      <c r="D1041" s="60">
        <v>6.99</v>
      </c>
      <c r="E1041" s="60">
        <v>9390474832</v>
      </c>
      <c r="F1041" s="60" t="s">
        <v>1916</v>
      </c>
      <c r="G1041" s="60" t="s">
        <v>256</v>
      </c>
      <c r="H1041" s="60" t="s">
        <v>200</v>
      </c>
      <c r="I1041" s="60" t="s">
        <v>21</v>
      </c>
      <c r="K1041" s="161">
        <v>20000</v>
      </c>
    </row>
    <row r="1042" spans="1:11" ht="30" customHeight="1" x14ac:dyDescent="0.25">
      <c r="A1042" s="60">
        <v>1041</v>
      </c>
      <c r="B1042" s="60">
        <v>220906398</v>
      </c>
      <c r="C1042" s="60" t="s">
        <v>1917</v>
      </c>
      <c r="D1042" s="60">
        <v>7.64</v>
      </c>
      <c r="E1042" s="60">
        <v>7338616520</v>
      </c>
      <c r="F1042" s="60" t="s">
        <v>1918</v>
      </c>
      <c r="G1042" s="60" t="s">
        <v>478</v>
      </c>
      <c r="H1042" s="60" t="s">
        <v>200</v>
      </c>
      <c r="I1042" s="60" t="s">
        <v>21</v>
      </c>
      <c r="K1042" s="161">
        <v>20000</v>
      </c>
    </row>
    <row r="1043" spans="1:11" ht="30" customHeight="1" x14ac:dyDescent="0.25">
      <c r="A1043" s="60">
        <v>1042</v>
      </c>
      <c r="B1043" s="60">
        <v>220906622</v>
      </c>
      <c r="C1043" s="60" t="s">
        <v>1919</v>
      </c>
      <c r="D1043" s="60">
        <v>7.4</v>
      </c>
      <c r="E1043" s="60">
        <v>8247527538</v>
      </c>
      <c r="F1043" s="60" t="s">
        <v>1920</v>
      </c>
      <c r="G1043" s="60" t="s">
        <v>478</v>
      </c>
      <c r="H1043" s="60" t="s">
        <v>200</v>
      </c>
      <c r="I1043" s="60" t="s">
        <v>21</v>
      </c>
      <c r="K1043" s="161">
        <v>20000</v>
      </c>
    </row>
    <row r="1044" spans="1:11" ht="30" customHeight="1" x14ac:dyDescent="0.25">
      <c r="A1044" s="60">
        <v>1043</v>
      </c>
      <c r="B1044" s="60">
        <v>220906612</v>
      </c>
      <c r="C1044" s="60" t="s">
        <v>1921</v>
      </c>
      <c r="D1044" s="60">
        <v>6.7</v>
      </c>
      <c r="E1044" s="60">
        <v>8529965689</v>
      </c>
      <c r="F1044" s="60" t="s">
        <v>1922</v>
      </c>
      <c r="G1044" s="60" t="s">
        <v>478</v>
      </c>
      <c r="H1044" s="60" t="s">
        <v>200</v>
      </c>
      <c r="I1044" s="60" t="s">
        <v>21</v>
      </c>
      <c r="K1044" s="161">
        <v>20000</v>
      </c>
    </row>
    <row r="1045" spans="1:11" ht="30" customHeight="1" x14ac:dyDescent="0.25">
      <c r="A1045" s="60">
        <v>1044</v>
      </c>
      <c r="B1045" s="60">
        <v>220907698</v>
      </c>
      <c r="C1045" s="60" t="s">
        <v>1923</v>
      </c>
      <c r="D1045" s="60">
        <v>7.38</v>
      </c>
      <c r="E1045" s="60">
        <v>8879447987</v>
      </c>
      <c r="F1045" s="60" t="s">
        <v>1924</v>
      </c>
      <c r="G1045" s="60" t="s">
        <v>277</v>
      </c>
      <c r="H1045" s="60" t="s">
        <v>200</v>
      </c>
      <c r="I1045" s="60" t="s">
        <v>21</v>
      </c>
      <c r="K1045" s="161">
        <v>20000</v>
      </c>
    </row>
    <row r="1046" spans="1:11" ht="30" customHeight="1" x14ac:dyDescent="0.25">
      <c r="A1046" s="60">
        <v>1045</v>
      </c>
      <c r="B1046" s="60">
        <v>220932046</v>
      </c>
      <c r="C1046" s="60" t="s">
        <v>749</v>
      </c>
      <c r="D1046" s="60">
        <v>7.42</v>
      </c>
      <c r="E1046" s="60">
        <v>9969258936</v>
      </c>
      <c r="F1046" s="60" t="s">
        <v>1925</v>
      </c>
      <c r="G1046" s="60" t="s">
        <v>289</v>
      </c>
      <c r="H1046" s="60" t="s">
        <v>200</v>
      </c>
      <c r="I1046" s="60" t="s">
        <v>21</v>
      </c>
      <c r="K1046" s="161">
        <v>20000</v>
      </c>
    </row>
    <row r="1047" spans="1:11" ht="30" customHeight="1" x14ac:dyDescent="0.25">
      <c r="A1047" s="60">
        <v>1046</v>
      </c>
      <c r="B1047" s="60">
        <v>220932376</v>
      </c>
      <c r="C1047" s="60" t="s">
        <v>1926</v>
      </c>
      <c r="D1047" s="60">
        <v>6.96</v>
      </c>
      <c r="E1047" s="60">
        <v>8152824131</v>
      </c>
      <c r="F1047" s="60" t="s">
        <v>1927</v>
      </c>
      <c r="G1047" s="60" t="s">
        <v>289</v>
      </c>
      <c r="H1047" s="60" t="s">
        <v>200</v>
      </c>
      <c r="I1047" s="60" t="s">
        <v>21</v>
      </c>
      <c r="K1047" s="161">
        <v>20000</v>
      </c>
    </row>
    <row r="1048" spans="1:11" ht="30" customHeight="1" x14ac:dyDescent="0.25">
      <c r="A1048" s="60">
        <v>1047</v>
      </c>
      <c r="B1048" s="60">
        <v>220932226</v>
      </c>
      <c r="C1048" s="60" t="s">
        <v>1928</v>
      </c>
      <c r="D1048" s="60">
        <v>6.88</v>
      </c>
      <c r="E1048" s="60">
        <v>8431800017</v>
      </c>
      <c r="F1048" s="60" t="s">
        <v>1929</v>
      </c>
      <c r="G1048" s="60" t="s">
        <v>289</v>
      </c>
      <c r="H1048" s="60" t="s">
        <v>200</v>
      </c>
      <c r="I1048" s="60" t="s">
        <v>21</v>
      </c>
      <c r="K1048" s="161">
        <v>20000</v>
      </c>
    </row>
    <row r="1049" spans="1:11" ht="30" customHeight="1" x14ac:dyDescent="0.25">
      <c r="A1049" s="60">
        <v>1048</v>
      </c>
      <c r="B1049" s="60">
        <v>220934147</v>
      </c>
      <c r="C1049" s="60" t="s">
        <v>1930</v>
      </c>
      <c r="D1049" s="60">
        <v>9.39</v>
      </c>
      <c r="E1049" s="60">
        <v>7208236264</v>
      </c>
      <c r="F1049" s="60" t="s">
        <v>1931</v>
      </c>
      <c r="G1049" s="60" t="s">
        <v>1932</v>
      </c>
      <c r="H1049" s="60" t="s">
        <v>200</v>
      </c>
      <c r="I1049" s="60" t="s">
        <v>21</v>
      </c>
      <c r="K1049" s="161">
        <v>20000</v>
      </c>
    </row>
    <row r="1050" spans="1:11" ht="30" customHeight="1" x14ac:dyDescent="0.25">
      <c r="A1050" s="60">
        <v>1049</v>
      </c>
      <c r="B1050" s="60">
        <v>220909184</v>
      </c>
      <c r="C1050" s="60" t="s">
        <v>1933</v>
      </c>
      <c r="D1050" s="60">
        <v>9.57</v>
      </c>
      <c r="E1050" s="60">
        <v>6366579792</v>
      </c>
      <c r="F1050" s="60" t="s">
        <v>1934</v>
      </c>
      <c r="G1050" s="60" t="s">
        <v>312</v>
      </c>
      <c r="H1050" s="60" t="s">
        <v>200</v>
      </c>
      <c r="I1050" s="60" t="s">
        <v>21</v>
      </c>
      <c r="K1050" s="161">
        <v>20000</v>
      </c>
    </row>
    <row r="1051" spans="1:11" ht="30" customHeight="1" x14ac:dyDescent="0.25">
      <c r="A1051" s="60">
        <v>1050</v>
      </c>
      <c r="B1051" s="60">
        <v>220909008</v>
      </c>
      <c r="C1051" s="60" t="s">
        <v>1334</v>
      </c>
      <c r="D1051" s="60">
        <v>8.49</v>
      </c>
      <c r="E1051" s="60">
        <v>7899054966</v>
      </c>
      <c r="F1051" s="60" t="s">
        <v>1335</v>
      </c>
      <c r="G1051" s="60" t="s">
        <v>312</v>
      </c>
      <c r="H1051" s="60" t="s">
        <v>200</v>
      </c>
      <c r="I1051" s="60" t="s">
        <v>21</v>
      </c>
      <c r="K1051" s="161">
        <v>20000</v>
      </c>
    </row>
    <row r="1052" spans="1:11" ht="30" customHeight="1" x14ac:dyDescent="0.25">
      <c r="A1052" s="60">
        <v>1051</v>
      </c>
      <c r="B1052" s="60">
        <v>220909066</v>
      </c>
      <c r="C1052" s="60" t="s">
        <v>1935</v>
      </c>
      <c r="D1052" s="60">
        <v>8.4499999999999993</v>
      </c>
      <c r="E1052" s="60">
        <v>9900199439</v>
      </c>
      <c r="F1052" s="60" t="s">
        <v>1936</v>
      </c>
      <c r="G1052" s="60" t="s">
        <v>312</v>
      </c>
      <c r="H1052" s="60" t="s">
        <v>200</v>
      </c>
      <c r="I1052" s="60" t="s">
        <v>21</v>
      </c>
      <c r="K1052" s="161">
        <v>20000</v>
      </c>
    </row>
    <row r="1053" spans="1:11" ht="30" customHeight="1" x14ac:dyDescent="0.25">
      <c r="A1053" s="60">
        <v>1052</v>
      </c>
      <c r="B1053" s="60">
        <v>220909096</v>
      </c>
      <c r="C1053" s="60" t="s">
        <v>1937</v>
      </c>
      <c r="D1053" s="60">
        <v>7.79</v>
      </c>
      <c r="E1053" s="60">
        <v>9974033847</v>
      </c>
      <c r="F1053" s="60" t="s">
        <v>1938</v>
      </c>
      <c r="G1053" s="60" t="s">
        <v>312</v>
      </c>
      <c r="H1053" s="60" t="s">
        <v>200</v>
      </c>
      <c r="I1053" s="60" t="s">
        <v>21</v>
      </c>
      <c r="K1053" s="161">
        <v>20000</v>
      </c>
    </row>
    <row r="1054" spans="1:11" ht="30" customHeight="1" x14ac:dyDescent="0.25">
      <c r="A1054" s="60">
        <v>1053</v>
      </c>
      <c r="B1054" s="60">
        <v>220909164</v>
      </c>
      <c r="C1054" s="60" t="s">
        <v>1939</v>
      </c>
      <c r="D1054" s="60">
        <v>7.48</v>
      </c>
      <c r="E1054" s="60">
        <v>8879036396</v>
      </c>
      <c r="F1054" s="60" t="s">
        <v>1940</v>
      </c>
      <c r="G1054" s="60" t="s">
        <v>312</v>
      </c>
      <c r="H1054" s="60" t="s">
        <v>200</v>
      </c>
      <c r="I1054" s="60" t="s">
        <v>21</v>
      </c>
      <c r="K1054" s="161">
        <v>20000</v>
      </c>
    </row>
    <row r="1055" spans="1:11" ht="30" customHeight="1" x14ac:dyDescent="0.25">
      <c r="A1055" s="60">
        <v>1054</v>
      </c>
      <c r="B1055" s="60">
        <v>220909591</v>
      </c>
      <c r="C1055" s="60" t="s">
        <v>1941</v>
      </c>
      <c r="D1055" s="60">
        <v>7.43</v>
      </c>
      <c r="E1055" s="60">
        <v>8296542547</v>
      </c>
      <c r="F1055" s="60" t="s">
        <v>1942</v>
      </c>
      <c r="G1055" s="60" t="s">
        <v>312</v>
      </c>
      <c r="H1055" s="60" t="s">
        <v>200</v>
      </c>
      <c r="I1055" s="60" t="s">
        <v>21</v>
      </c>
      <c r="K1055" s="161">
        <v>20000</v>
      </c>
    </row>
    <row r="1056" spans="1:11" ht="30" customHeight="1" x14ac:dyDescent="0.25">
      <c r="A1056" s="60">
        <v>1055</v>
      </c>
      <c r="B1056" s="60">
        <v>220909346</v>
      </c>
      <c r="C1056" s="60" t="s">
        <v>1943</v>
      </c>
      <c r="D1056" s="60">
        <v>7.31</v>
      </c>
      <c r="E1056" s="60">
        <v>9474241864</v>
      </c>
      <c r="F1056" s="60" t="s">
        <v>1944</v>
      </c>
      <c r="G1056" s="60" t="s">
        <v>312</v>
      </c>
      <c r="H1056" s="60" t="s">
        <v>200</v>
      </c>
      <c r="I1056" s="60" t="s">
        <v>21</v>
      </c>
      <c r="K1056" s="161">
        <v>20000</v>
      </c>
    </row>
    <row r="1057" spans="1:11" ht="30" customHeight="1" x14ac:dyDescent="0.25">
      <c r="A1057" s="60">
        <v>1056</v>
      </c>
      <c r="B1057" s="60">
        <v>220907596</v>
      </c>
      <c r="C1057" s="60" t="s">
        <v>1945</v>
      </c>
      <c r="D1057" s="60">
        <v>8.01</v>
      </c>
      <c r="E1057" s="60">
        <v>9004660022</v>
      </c>
      <c r="F1057" s="60" t="s">
        <v>1946</v>
      </c>
      <c r="G1057" s="60" t="s">
        <v>277</v>
      </c>
      <c r="H1057" s="60" t="s">
        <v>201</v>
      </c>
      <c r="I1057" s="60" t="s">
        <v>21</v>
      </c>
      <c r="K1057" s="161">
        <v>105000</v>
      </c>
    </row>
    <row r="1058" spans="1:11" ht="30" customHeight="1" x14ac:dyDescent="0.25">
      <c r="A1058" s="60">
        <v>1057</v>
      </c>
      <c r="B1058" s="60">
        <v>220962448</v>
      </c>
      <c r="C1058" s="60" t="s">
        <v>1947</v>
      </c>
      <c r="D1058" s="60">
        <v>9.2100000000000009</v>
      </c>
      <c r="E1058" s="60">
        <v>9768524536</v>
      </c>
      <c r="F1058" s="60" t="s">
        <v>1948</v>
      </c>
      <c r="G1058" s="60" t="s">
        <v>253</v>
      </c>
      <c r="H1058" s="60" t="s">
        <v>201</v>
      </c>
      <c r="I1058" s="60" t="s">
        <v>21</v>
      </c>
      <c r="K1058" s="161">
        <v>105000</v>
      </c>
    </row>
    <row r="1059" spans="1:11" ht="30" customHeight="1" x14ac:dyDescent="0.25">
      <c r="A1059" s="60">
        <v>1058</v>
      </c>
      <c r="B1059" s="60">
        <v>220962089</v>
      </c>
      <c r="C1059" s="60" t="s">
        <v>1949</v>
      </c>
      <c r="D1059" s="60">
        <v>6.73</v>
      </c>
      <c r="E1059" s="60">
        <v>9173319289</v>
      </c>
      <c r="F1059" s="60" t="s">
        <v>1950</v>
      </c>
      <c r="G1059" s="60" t="s">
        <v>253</v>
      </c>
      <c r="H1059" s="60" t="s">
        <v>206</v>
      </c>
      <c r="I1059" s="60" t="s">
        <v>21</v>
      </c>
      <c r="K1059" s="161"/>
    </row>
    <row r="1060" spans="1:11" ht="30" customHeight="1" x14ac:dyDescent="0.25">
      <c r="A1060" s="60">
        <v>1059</v>
      </c>
      <c r="B1060" s="60">
        <v>220968206</v>
      </c>
      <c r="C1060" s="60" t="s">
        <v>1951</v>
      </c>
      <c r="D1060" s="60">
        <v>6.26</v>
      </c>
      <c r="E1060" s="60">
        <v>9150404857</v>
      </c>
      <c r="F1060" s="60" t="s">
        <v>1952</v>
      </c>
      <c r="G1060" s="60" t="s">
        <v>384</v>
      </c>
      <c r="H1060" s="60" t="s">
        <v>206</v>
      </c>
      <c r="I1060" s="60" t="s">
        <v>21</v>
      </c>
      <c r="K1060" s="161"/>
    </row>
    <row r="1061" spans="1:11" ht="30" customHeight="1" x14ac:dyDescent="0.25">
      <c r="A1061" s="60">
        <v>1060</v>
      </c>
      <c r="B1061" s="60">
        <v>220907644</v>
      </c>
      <c r="C1061" s="60" t="s">
        <v>1953</v>
      </c>
      <c r="D1061" s="60">
        <v>6.91</v>
      </c>
      <c r="E1061" s="60">
        <v>9016781406</v>
      </c>
      <c r="F1061" s="60" t="s">
        <v>1954</v>
      </c>
      <c r="G1061" s="60" t="s">
        <v>277</v>
      </c>
      <c r="H1061" s="60" t="s">
        <v>206</v>
      </c>
      <c r="I1061" s="60" t="s">
        <v>21</v>
      </c>
      <c r="K1061" s="161"/>
    </row>
    <row r="1062" spans="1:11" ht="30" customHeight="1" x14ac:dyDescent="0.25">
      <c r="A1062" s="60">
        <v>1061</v>
      </c>
      <c r="B1062" s="60">
        <v>220932314</v>
      </c>
      <c r="C1062" s="60" t="s">
        <v>1955</v>
      </c>
      <c r="D1062" s="60">
        <v>7.66</v>
      </c>
      <c r="E1062" s="60">
        <v>8610831517</v>
      </c>
      <c r="F1062" s="60" t="s">
        <v>1956</v>
      </c>
      <c r="G1062" s="60" t="s">
        <v>289</v>
      </c>
      <c r="H1062" s="60" t="s">
        <v>206</v>
      </c>
      <c r="I1062" s="60" t="s">
        <v>21</v>
      </c>
      <c r="K1062" s="161"/>
    </row>
    <row r="1063" spans="1:11" ht="30" customHeight="1" x14ac:dyDescent="0.25">
      <c r="A1063" s="60">
        <v>1062</v>
      </c>
      <c r="B1063" s="60">
        <v>220953616</v>
      </c>
      <c r="C1063" s="60" t="s">
        <v>1957</v>
      </c>
      <c r="D1063" s="60">
        <v>7.12</v>
      </c>
      <c r="E1063" s="60">
        <v>9108713841</v>
      </c>
      <c r="F1063" s="60" t="s">
        <v>1958</v>
      </c>
      <c r="G1063" s="60" t="s">
        <v>261</v>
      </c>
      <c r="H1063" s="60" t="s">
        <v>1959</v>
      </c>
      <c r="I1063" s="60" t="s">
        <v>21</v>
      </c>
      <c r="K1063" s="161">
        <v>90000</v>
      </c>
    </row>
    <row r="1064" spans="1:11" ht="30" customHeight="1" x14ac:dyDescent="0.25">
      <c r="A1064" s="60">
        <v>1063</v>
      </c>
      <c r="B1064" s="60">
        <v>220962404</v>
      </c>
      <c r="C1064" s="60" t="s">
        <v>1960</v>
      </c>
      <c r="D1064" s="60">
        <v>7.36</v>
      </c>
      <c r="E1064" s="60">
        <v>8660894658</v>
      </c>
      <c r="F1064" s="60" t="s">
        <v>1961</v>
      </c>
      <c r="G1064" s="60" t="s">
        <v>253</v>
      </c>
      <c r="H1064" s="60" t="s">
        <v>1959</v>
      </c>
      <c r="I1064" s="60" t="s">
        <v>21</v>
      </c>
      <c r="K1064" s="161">
        <v>90000</v>
      </c>
    </row>
    <row r="1065" spans="1:11" ht="30" customHeight="1" x14ac:dyDescent="0.25">
      <c r="A1065" s="60">
        <v>1064</v>
      </c>
      <c r="B1065" s="60">
        <v>220962105</v>
      </c>
      <c r="C1065" s="60" t="s">
        <v>1962</v>
      </c>
      <c r="D1065" s="60">
        <v>7.33</v>
      </c>
      <c r="E1065" s="60">
        <v>9591217795</v>
      </c>
      <c r="F1065" s="60" t="s">
        <v>1963</v>
      </c>
      <c r="G1065" s="60" t="s">
        <v>253</v>
      </c>
      <c r="H1065" s="60" t="s">
        <v>1959</v>
      </c>
      <c r="I1065" s="60" t="s">
        <v>21</v>
      </c>
      <c r="K1065" s="161">
        <v>90000</v>
      </c>
    </row>
    <row r="1066" spans="1:11" ht="30" customHeight="1" x14ac:dyDescent="0.25">
      <c r="A1066" s="60">
        <v>1065</v>
      </c>
      <c r="B1066" s="60">
        <v>220911324</v>
      </c>
      <c r="C1066" s="60" t="s">
        <v>1964</v>
      </c>
      <c r="D1066" s="60">
        <v>8.14</v>
      </c>
      <c r="E1066" s="60">
        <v>9889420443</v>
      </c>
      <c r="F1066" s="60" t="s">
        <v>1965</v>
      </c>
      <c r="G1066" s="60" t="s">
        <v>274</v>
      </c>
      <c r="H1066" s="60" t="s">
        <v>1966</v>
      </c>
      <c r="I1066" s="60" t="s">
        <v>21</v>
      </c>
      <c r="K1066" s="161">
        <v>90000</v>
      </c>
    </row>
    <row r="1067" spans="1:11" ht="30" customHeight="1" x14ac:dyDescent="0.25">
      <c r="A1067" s="60">
        <v>1066</v>
      </c>
      <c r="B1067" s="159">
        <v>210904132</v>
      </c>
      <c r="C1067" s="159" t="s">
        <v>1967</v>
      </c>
      <c r="D1067" s="160">
        <v>5.68</v>
      </c>
      <c r="E1067" s="159">
        <v>9600052177</v>
      </c>
      <c r="F1067" s="159" t="s">
        <v>1968</v>
      </c>
      <c r="G1067" s="159" t="s">
        <v>1397</v>
      </c>
      <c r="H1067" s="60" t="s">
        <v>1969</v>
      </c>
      <c r="I1067" s="60" t="s">
        <v>21</v>
      </c>
      <c r="K1067" s="60"/>
    </row>
    <row r="1068" spans="1:11" ht="30" customHeight="1" x14ac:dyDescent="0.25">
      <c r="A1068" s="60">
        <v>1067</v>
      </c>
      <c r="B1068" s="158">
        <v>220909188</v>
      </c>
      <c r="C1068" s="159" t="s">
        <v>1970</v>
      </c>
      <c r="D1068" s="160">
        <v>7.5</v>
      </c>
      <c r="E1068" s="159">
        <v>7200186050</v>
      </c>
      <c r="F1068" s="159" t="s">
        <v>1971</v>
      </c>
      <c r="G1068" s="60" t="s">
        <v>312</v>
      </c>
      <c r="H1068" s="60" t="s">
        <v>1972</v>
      </c>
      <c r="I1068" s="60" t="s">
        <v>21</v>
      </c>
      <c r="K1068" s="60">
        <v>30000</v>
      </c>
    </row>
    <row r="1069" spans="1:11" ht="30" customHeight="1" x14ac:dyDescent="0.25">
      <c r="A1069" s="60">
        <v>1068</v>
      </c>
      <c r="B1069" s="60">
        <v>220933044</v>
      </c>
      <c r="C1069" s="60" t="s">
        <v>1973</v>
      </c>
      <c r="D1069" s="60">
        <v>9.3000000000000007</v>
      </c>
      <c r="E1069" s="60">
        <v>9985508684</v>
      </c>
      <c r="F1069" s="60" t="s">
        <v>1974</v>
      </c>
      <c r="G1069" s="60" t="s">
        <v>330</v>
      </c>
      <c r="H1069" s="60" t="s">
        <v>1975</v>
      </c>
      <c r="I1069" s="60" t="s">
        <v>21</v>
      </c>
      <c r="K1069" s="60">
        <v>70000</v>
      </c>
    </row>
    <row r="1070" spans="1:11" ht="30" customHeight="1" x14ac:dyDescent="0.25">
      <c r="A1070" s="60">
        <v>1069</v>
      </c>
      <c r="B1070" s="60">
        <v>220902014</v>
      </c>
      <c r="C1070" s="60" t="s">
        <v>1976</v>
      </c>
      <c r="D1070" s="60">
        <v>8.61</v>
      </c>
      <c r="E1070" s="60">
        <v>8779873358</v>
      </c>
      <c r="F1070" s="60" t="s">
        <v>1977</v>
      </c>
      <c r="G1070" s="60" t="s">
        <v>1388</v>
      </c>
      <c r="H1070" s="60" t="s">
        <v>1978</v>
      </c>
      <c r="I1070" s="60" t="s">
        <v>21</v>
      </c>
      <c r="K1070" s="60">
        <v>70000</v>
      </c>
    </row>
    <row r="1071" spans="1:11" ht="30" customHeight="1" x14ac:dyDescent="0.25">
      <c r="A1071" s="60">
        <v>1070</v>
      </c>
      <c r="B1071" s="60">
        <v>220929122</v>
      </c>
      <c r="C1071" s="60" t="s">
        <v>1979</v>
      </c>
      <c r="D1071" s="60">
        <v>8.99</v>
      </c>
      <c r="E1071" s="60">
        <v>9731101415</v>
      </c>
      <c r="F1071" s="60" t="s">
        <v>1980</v>
      </c>
      <c r="G1071" s="60" t="s">
        <v>317</v>
      </c>
      <c r="H1071" s="60" t="s">
        <v>1978</v>
      </c>
      <c r="I1071" s="60" t="s">
        <v>21</v>
      </c>
      <c r="K1071" s="161">
        <v>70000</v>
      </c>
    </row>
    <row r="1072" spans="1:11" ht="30" customHeight="1" x14ac:dyDescent="0.25">
      <c r="A1072" s="60">
        <v>1071</v>
      </c>
      <c r="B1072" s="60">
        <v>220929336</v>
      </c>
      <c r="C1072" s="60" t="s">
        <v>1981</v>
      </c>
      <c r="D1072" s="60">
        <v>8.4499999999999993</v>
      </c>
      <c r="E1072" s="60">
        <v>6363132203</v>
      </c>
      <c r="F1072" s="60" t="s">
        <v>1982</v>
      </c>
      <c r="G1072" s="60" t="s">
        <v>317</v>
      </c>
      <c r="H1072" s="60" t="s">
        <v>1978</v>
      </c>
      <c r="I1072" s="60" t="s">
        <v>21</v>
      </c>
      <c r="K1072" s="161">
        <v>70000</v>
      </c>
    </row>
    <row r="1073" spans="1:11" ht="30" customHeight="1" x14ac:dyDescent="0.25">
      <c r="A1073" s="60">
        <v>1072</v>
      </c>
      <c r="B1073" s="60">
        <v>220902050</v>
      </c>
      <c r="C1073" s="60" t="s">
        <v>1983</v>
      </c>
      <c r="D1073" s="60">
        <v>8.41</v>
      </c>
      <c r="E1073" s="159">
        <v>9819880793</v>
      </c>
      <c r="F1073" s="60" t="s">
        <v>1984</v>
      </c>
      <c r="G1073" s="60" t="s">
        <v>1388</v>
      </c>
      <c r="H1073" s="60" t="s">
        <v>1978</v>
      </c>
      <c r="I1073" s="60" t="s">
        <v>21</v>
      </c>
      <c r="K1073" s="161">
        <v>70000</v>
      </c>
    </row>
    <row r="1074" spans="1:11" ht="30" customHeight="1" x14ac:dyDescent="0.25">
      <c r="A1074" s="60">
        <v>1073</v>
      </c>
      <c r="B1074" s="60">
        <v>220929258</v>
      </c>
      <c r="C1074" s="60" t="s">
        <v>1985</v>
      </c>
      <c r="D1074" s="60">
        <v>7.87</v>
      </c>
      <c r="E1074" s="60">
        <v>9137036621</v>
      </c>
      <c r="F1074" s="60" t="s">
        <v>1986</v>
      </c>
      <c r="G1074" s="60" t="s">
        <v>317</v>
      </c>
      <c r="H1074" s="60" t="s">
        <v>1978</v>
      </c>
      <c r="I1074" s="60" t="s">
        <v>21</v>
      </c>
      <c r="K1074" s="161">
        <v>70000</v>
      </c>
    </row>
    <row r="1075" spans="1:11" ht="30" customHeight="1" x14ac:dyDescent="0.25">
      <c r="A1075" s="60">
        <v>1074</v>
      </c>
      <c r="B1075" s="60">
        <v>220929060</v>
      </c>
      <c r="C1075" s="60" t="s">
        <v>1987</v>
      </c>
      <c r="D1075" s="60">
        <v>7.82</v>
      </c>
      <c r="E1075" s="60">
        <v>7583919181</v>
      </c>
      <c r="F1075" s="60" t="s">
        <v>1988</v>
      </c>
      <c r="G1075" s="60" t="s">
        <v>317</v>
      </c>
      <c r="H1075" s="60" t="s">
        <v>1978</v>
      </c>
      <c r="I1075" s="60" t="s">
        <v>21</v>
      </c>
      <c r="K1075" s="161">
        <v>70000</v>
      </c>
    </row>
    <row r="1076" spans="1:11" ht="30" customHeight="1" x14ac:dyDescent="0.25">
      <c r="A1076" s="60">
        <v>1075</v>
      </c>
      <c r="B1076" s="60">
        <v>220953196</v>
      </c>
      <c r="C1076" s="60" t="s">
        <v>1989</v>
      </c>
      <c r="D1076" s="60">
        <v>7.21</v>
      </c>
      <c r="E1076" s="60">
        <v>7760605365</v>
      </c>
      <c r="F1076" s="60" t="s">
        <v>1990</v>
      </c>
      <c r="G1076" s="60" t="s">
        <v>261</v>
      </c>
      <c r="H1076" s="60" t="s">
        <v>1991</v>
      </c>
      <c r="I1076" s="60" t="s">
        <v>21</v>
      </c>
      <c r="K1076" s="161">
        <v>70000</v>
      </c>
    </row>
    <row r="1077" spans="1:11" ht="30" customHeight="1" x14ac:dyDescent="0.25">
      <c r="A1077" s="60">
        <v>1076</v>
      </c>
      <c r="B1077" s="60">
        <v>220961108</v>
      </c>
      <c r="C1077" s="60" t="s">
        <v>1992</v>
      </c>
      <c r="D1077" s="60">
        <v>9.31</v>
      </c>
      <c r="E1077" s="60">
        <v>9311986053</v>
      </c>
      <c r="F1077" s="60" t="s">
        <v>1993</v>
      </c>
      <c r="G1077" s="60" t="s">
        <v>541</v>
      </c>
      <c r="H1077" s="60" t="s">
        <v>1994</v>
      </c>
      <c r="I1077" s="60" t="s">
        <v>21</v>
      </c>
      <c r="K1077" s="161">
        <v>50000</v>
      </c>
    </row>
    <row r="1078" spans="1:11" ht="30" customHeight="1" x14ac:dyDescent="0.25">
      <c r="A1078" s="60">
        <v>1077</v>
      </c>
      <c r="B1078" s="60">
        <v>220953496</v>
      </c>
      <c r="C1078" s="60" t="s">
        <v>1995</v>
      </c>
      <c r="D1078" s="60">
        <v>7.11</v>
      </c>
      <c r="E1078" s="60">
        <v>8977931355</v>
      </c>
      <c r="F1078" s="60" t="s">
        <v>1996</v>
      </c>
      <c r="G1078" s="60" t="s">
        <v>261</v>
      </c>
      <c r="H1078" s="159" t="s">
        <v>1997</v>
      </c>
      <c r="I1078" s="60" t="s">
        <v>21</v>
      </c>
      <c r="K1078" s="161">
        <v>70000</v>
      </c>
    </row>
    <row r="1079" spans="1:11" ht="30" customHeight="1" x14ac:dyDescent="0.25">
      <c r="A1079" s="60">
        <v>1078</v>
      </c>
      <c r="B1079" s="60">
        <v>220905476</v>
      </c>
      <c r="C1079" s="60" t="s">
        <v>1998</v>
      </c>
      <c r="D1079" s="60">
        <v>8.91</v>
      </c>
      <c r="E1079" s="60">
        <v>7049548690</v>
      </c>
      <c r="F1079" s="60" t="s">
        <v>1999</v>
      </c>
      <c r="G1079" s="60" t="s">
        <v>256</v>
      </c>
      <c r="H1079" s="60" t="s">
        <v>1994</v>
      </c>
      <c r="I1079" s="60" t="s">
        <v>21</v>
      </c>
      <c r="K1079" s="161">
        <v>50000</v>
      </c>
    </row>
    <row r="1080" spans="1:11" ht="30" customHeight="1" x14ac:dyDescent="0.25">
      <c r="A1080" s="60">
        <v>1079</v>
      </c>
      <c r="B1080" s="60">
        <v>220905081</v>
      </c>
      <c r="C1080" s="60" t="s">
        <v>2000</v>
      </c>
      <c r="D1080" s="60">
        <v>7.27</v>
      </c>
      <c r="E1080" s="60">
        <v>9515134737</v>
      </c>
      <c r="F1080" s="60" t="s">
        <v>2001</v>
      </c>
      <c r="G1080" s="60" t="s">
        <v>256</v>
      </c>
      <c r="H1080" s="60" t="s">
        <v>1994</v>
      </c>
      <c r="I1080" s="60" t="s">
        <v>21</v>
      </c>
      <c r="K1080" s="161">
        <v>50000</v>
      </c>
    </row>
    <row r="1081" spans="1:11" ht="30" customHeight="1" x14ac:dyDescent="0.25">
      <c r="A1081" s="60">
        <v>1080</v>
      </c>
      <c r="B1081" s="60">
        <v>220905026</v>
      </c>
      <c r="C1081" s="60" t="s">
        <v>2002</v>
      </c>
      <c r="D1081" s="60">
        <v>7.25</v>
      </c>
      <c r="E1081" s="60">
        <v>9852666669</v>
      </c>
      <c r="F1081" s="60" t="s">
        <v>2003</v>
      </c>
      <c r="G1081" s="60" t="s">
        <v>256</v>
      </c>
      <c r="H1081" s="159" t="s">
        <v>2004</v>
      </c>
      <c r="I1081" s="60" t="s">
        <v>21</v>
      </c>
      <c r="K1081" s="161">
        <v>70000</v>
      </c>
    </row>
    <row r="1082" spans="1:11" ht="30" customHeight="1" x14ac:dyDescent="0.25">
      <c r="A1082" s="60">
        <v>1081</v>
      </c>
      <c r="B1082" s="60">
        <v>220968202</v>
      </c>
      <c r="C1082" s="60" t="s">
        <v>2005</v>
      </c>
      <c r="D1082" s="60">
        <v>7.82</v>
      </c>
      <c r="E1082" s="60">
        <v>7678444279</v>
      </c>
      <c r="F1082" s="60" t="s">
        <v>2006</v>
      </c>
      <c r="G1082" s="60" t="s">
        <v>384</v>
      </c>
      <c r="H1082" s="60" t="s">
        <v>1994</v>
      </c>
      <c r="I1082" s="60" t="s">
        <v>21</v>
      </c>
      <c r="K1082" s="161">
        <v>50000</v>
      </c>
    </row>
    <row r="1083" spans="1:11" ht="30" customHeight="1" x14ac:dyDescent="0.25">
      <c r="A1083" s="60">
        <v>1082</v>
      </c>
      <c r="B1083" s="60">
        <v>220907850</v>
      </c>
      <c r="C1083" s="60" t="s">
        <v>2007</v>
      </c>
      <c r="D1083" s="60">
        <v>7.11</v>
      </c>
      <c r="E1083" s="60">
        <v>6299707083</v>
      </c>
      <c r="F1083" s="60" t="s">
        <v>2008</v>
      </c>
      <c r="G1083" s="60" t="s">
        <v>277</v>
      </c>
      <c r="H1083" s="159" t="s">
        <v>2004</v>
      </c>
      <c r="I1083" s="60" t="s">
        <v>21</v>
      </c>
      <c r="K1083" s="161">
        <v>70000</v>
      </c>
    </row>
    <row r="1084" spans="1:11" ht="30" customHeight="1" x14ac:dyDescent="0.25">
      <c r="A1084" s="60">
        <v>1083</v>
      </c>
      <c r="B1084" s="60">
        <v>220911400</v>
      </c>
      <c r="C1084" s="60" t="s">
        <v>2009</v>
      </c>
      <c r="D1084" s="60">
        <v>7.64</v>
      </c>
      <c r="E1084" s="60">
        <v>8899609408</v>
      </c>
      <c r="F1084" s="60" t="s">
        <v>2010</v>
      </c>
      <c r="G1084" s="60" t="s">
        <v>274</v>
      </c>
      <c r="H1084" s="60" t="s">
        <v>1991</v>
      </c>
      <c r="I1084" s="60" t="s">
        <v>21</v>
      </c>
      <c r="K1084" s="161">
        <v>70000</v>
      </c>
    </row>
    <row r="1085" spans="1:11" ht="30" customHeight="1" x14ac:dyDescent="0.25">
      <c r="A1085" s="60">
        <v>1084</v>
      </c>
      <c r="B1085" s="60">
        <v>220909182</v>
      </c>
      <c r="C1085" s="60" t="s">
        <v>2011</v>
      </c>
      <c r="D1085" s="60">
        <v>7.18</v>
      </c>
      <c r="E1085" s="60">
        <v>9082663906</v>
      </c>
      <c r="F1085" s="60" t="s">
        <v>2012</v>
      </c>
      <c r="G1085" s="60" t="s">
        <v>312</v>
      </c>
      <c r="H1085" s="60" t="s">
        <v>217</v>
      </c>
      <c r="I1085" s="60" t="s">
        <v>21</v>
      </c>
      <c r="K1085" s="161">
        <v>10000</v>
      </c>
    </row>
    <row r="1086" spans="1:11" ht="30" customHeight="1" x14ac:dyDescent="0.25">
      <c r="A1086" s="60">
        <v>1085</v>
      </c>
      <c r="B1086" s="60">
        <v>220929296</v>
      </c>
      <c r="C1086" s="60" t="s">
        <v>2013</v>
      </c>
      <c r="D1086" s="60">
        <v>7.81</v>
      </c>
      <c r="E1086" s="60">
        <v>9959056568</v>
      </c>
      <c r="F1086" s="60" t="s">
        <v>2014</v>
      </c>
      <c r="G1086" s="60" t="s">
        <v>317</v>
      </c>
      <c r="H1086" s="60" t="s">
        <v>217</v>
      </c>
      <c r="I1086" s="60" t="s">
        <v>21</v>
      </c>
      <c r="K1086" s="161">
        <v>10000</v>
      </c>
    </row>
    <row r="1087" spans="1:11" ht="30" customHeight="1" x14ac:dyDescent="0.25">
      <c r="A1087" s="60">
        <v>1086</v>
      </c>
      <c r="B1087" s="60">
        <v>220929244</v>
      </c>
      <c r="C1087" s="60" t="s">
        <v>2015</v>
      </c>
      <c r="D1087" s="60">
        <v>7.42</v>
      </c>
      <c r="E1087" s="60">
        <v>9538164345</v>
      </c>
      <c r="F1087" s="60" t="s">
        <v>2016</v>
      </c>
      <c r="G1087" s="60" t="s">
        <v>317</v>
      </c>
      <c r="H1087" s="60" t="s">
        <v>217</v>
      </c>
      <c r="I1087" s="60" t="s">
        <v>21</v>
      </c>
      <c r="K1087" s="161">
        <v>10000</v>
      </c>
    </row>
    <row r="1088" spans="1:11" ht="30" customHeight="1" x14ac:dyDescent="0.25">
      <c r="A1088" s="60">
        <v>1087</v>
      </c>
      <c r="B1088" s="60">
        <v>220929210</v>
      </c>
      <c r="C1088" s="60" t="s">
        <v>2017</v>
      </c>
      <c r="D1088" s="60">
        <v>7.41</v>
      </c>
      <c r="E1088" s="60">
        <v>9481372838</v>
      </c>
      <c r="F1088" s="60" t="s">
        <v>2018</v>
      </c>
      <c r="G1088" s="60" t="s">
        <v>317</v>
      </c>
      <c r="H1088" s="60" t="s">
        <v>217</v>
      </c>
      <c r="I1088" s="60" t="s">
        <v>21</v>
      </c>
      <c r="K1088" s="161">
        <v>10000</v>
      </c>
    </row>
    <row r="1089" spans="1:11" ht="30" customHeight="1" x14ac:dyDescent="0.25">
      <c r="A1089" s="60">
        <v>1088</v>
      </c>
      <c r="B1089" s="60">
        <v>220905193</v>
      </c>
      <c r="C1089" s="60" t="s">
        <v>2019</v>
      </c>
      <c r="D1089" s="60">
        <v>7.43</v>
      </c>
      <c r="E1089" s="60">
        <v>7400060175</v>
      </c>
      <c r="F1089" s="60" t="s">
        <v>2020</v>
      </c>
      <c r="G1089" s="60" t="s">
        <v>256</v>
      </c>
      <c r="H1089" s="60" t="s">
        <v>224</v>
      </c>
      <c r="I1089" s="60" t="s">
        <v>21</v>
      </c>
      <c r="K1089" s="161">
        <v>25000</v>
      </c>
    </row>
    <row r="1090" spans="1:11" ht="30" customHeight="1" x14ac:dyDescent="0.25">
      <c r="A1090" s="60">
        <v>1089</v>
      </c>
      <c r="B1090" s="159">
        <v>220962002</v>
      </c>
      <c r="C1090" s="159" t="s">
        <v>2021</v>
      </c>
      <c r="D1090" s="160">
        <v>6.67</v>
      </c>
      <c r="E1090" s="159">
        <v>9686635291</v>
      </c>
      <c r="F1090" s="159" t="s">
        <v>2022</v>
      </c>
      <c r="G1090" s="60" t="s">
        <v>253</v>
      </c>
      <c r="H1090" s="60" t="s">
        <v>224</v>
      </c>
      <c r="I1090" s="60" t="s">
        <v>21</v>
      </c>
      <c r="K1090" s="161">
        <v>25000</v>
      </c>
    </row>
    <row r="1091" spans="1:11" ht="30" customHeight="1" x14ac:dyDescent="0.25">
      <c r="A1091" s="60">
        <v>1090</v>
      </c>
      <c r="B1091" s="60">
        <v>220911274</v>
      </c>
      <c r="C1091" s="60" t="s">
        <v>2023</v>
      </c>
      <c r="D1091" s="60">
        <v>7.07</v>
      </c>
      <c r="E1091" s="60">
        <v>9611717774</v>
      </c>
      <c r="F1091" s="60" t="s">
        <v>2024</v>
      </c>
      <c r="G1091" s="60" t="s">
        <v>274</v>
      </c>
      <c r="H1091" s="60" t="s">
        <v>224</v>
      </c>
      <c r="I1091" s="60" t="s">
        <v>21</v>
      </c>
      <c r="K1091" s="161">
        <v>25000</v>
      </c>
    </row>
    <row r="1092" spans="1:11" ht="30" customHeight="1" x14ac:dyDescent="0.25">
      <c r="A1092" s="60">
        <v>1091</v>
      </c>
      <c r="B1092" s="60">
        <v>220968362</v>
      </c>
      <c r="C1092" s="60" t="s">
        <v>2025</v>
      </c>
      <c r="D1092" s="60">
        <v>7.7</v>
      </c>
      <c r="E1092" s="60">
        <v>9136072501</v>
      </c>
      <c r="F1092" s="60" t="s">
        <v>2026</v>
      </c>
      <c r="G1092" s="60" t="s">
        <v>384</v>
      </c>
      <c r="H1092" s="60" t="s">
        <v>68</v>
      </c>
      <c r="I1092" s="60" t="s">
        <v>21</v>
      </c>
      <c r="K1092" s="161">
        <v>60000</v>
      </c>
    </row>
    <row r="1093" spans="1:11" ht="30" customHeight="1" x14ac:dyDescent="0.25">
      <c r="A1093" s="60">
        <v>1092</v>
      </c>
      <c r="B1093" s="60">
        <v>220907230</v>
      </c>
      <c r="C1093" s="60" t="s">
        <v>2027</v>
      </c>
      <c r="D1093" s="60">
        <v>7.37</v>
      </c>
      <c r="E1093" s="60">
        <v>8667447086</v>
      </c>
      <c r="F1093" s="60" t="s">
        <v>2028</v>
      </c>
      <c r="G1093" s="60" t="s">
        <v>277</v>
      </c>
      <c r="H1093" s="60" t="s">
        <v>274</v>
      </c>
      <c r="I1093" s="60" t="s">
        <v>21</v>
      </c>
      <c r="K1093" s="161">
        <v>30000</v>
      </c>
    </row>
    <row r="1094" spans="1:11" ht="30" customHeight="1" x14ac:dyDescent="0.25">
      <c r="A1094" s="60">
        <v>1093</v>
      </c>
      <c r="B1094" s="159">
        <v>220929114</v>
      </c>
      <c r="C1094" s="159" t="s">
        <v>2029</v>
      </c>
      <c r="D1094" s="160">
        <v>8.17</v>
      </c>
      <c r="E1094" s="159">
        <v>8884840481</v>
      </c>
      <c r="F1094" s="159" t="s">
        <v>2030</v>
      </c>
      <c r="G1094" s="159" t="s">
        <v>317</v>
      </c>
      <c r="H1094" s="60" t="s">
        <v>90</v>
      </c>
      <c r="I1094" s="60" t="s">
        <v>21</v>
      </c>
      <c r="K1094" s="161">
        <v>30000</v>
      </c>
    </row>
    <row r="1095" spans="1:11" ht="30" customHeight="1" x14ac:dyDescent="0.25">
      <c r="A1095" s="60">
        <v>1094</v>
      </c>
      <c r="B1095" s="159">
        <v>220909186</v>
      </c>
      <c r="C1095" s="159" t="s">
        <v>2031</v>
      </c>
      <c r="D1095" s="160">
        <v>8.73</v>
      </c>
      <c r="E1095" s="159">
        <v>7989602486</v>
      </c>
      <c r="F1095" s="159" t="s">
        <v>2032</v>
      </c>
      <c r="G1095" s="159" t="s">
        <v>312</v>
      </c>
      <c r="H1095" s="60" t="s">
        <v>185</v>
      </c>
      <c r="I1095" s="60" t="s">
        <v>21</v>
      </c>
      <c r="K1095" s="161">
        <v>20000</v>
      </c>
    </row>
    <row r="1096" spans="1:11" ht="30" customHeight="1" x14ac:dyDescent="0.25">
      <c r="A1096" s="60">
        <v>1095</v>
      </c>
      <c r="B1096" s="60">
        <v>220953654</v>
      </c>
      <c r="C1096" s="60" t="s">
        <v>876</v>
      </c>
      <c r="D1096" s="60">
        <v>7.69</v>
      </c>
      <c r="E1096" s="60">
        <v>9650814766</v>
      </c>
      <c r="F1096" s="60" t="s">
        <v>877</v>
      </c>
      <c r="G1096" s="60" t="s">
        <v>261</v>
      </c>
      <c r="H1096" s="60" t="s">
        <v>231</v>
      </c>
      <c r="I1096" s="60" t="s">
        <v>21</v>
      </c>
      <c r="K1096" s="161">
        <v>40000</v>
      </c>
    </row>
    <row r="1097" spans="1:11" ht="30" customHeight="1" x14ac:dyDescent="0.25">
      <c r="A1097" s="60">
        <v>1096</v>
      </c>
      <c r="B1097" s="60">
        <v>220953364</v>
      </c>
      <c r="C1097" s="60" t="s">
        <v>2033</v>
      </c>
      <c r="D1097" s="60">
        <v>6.12</v>
      </c>
      <c r="E1097" s="60">
        <v>8668577805</v>
      </c>
      <c r="F1097" s="60" t="s">
        <v>2034</v>
      </c>
      <c r="G1097" s="60" t="s">
        <v>261</v>
      </c>
      <c r="H1097" s="60" t="s">
        <v>231</v>
      </c>
      <c r="I1097" s="60" t="s">
        <v>21</v>
      </c>
      <c r="K1097" s="161">
        <v>40000</v>
      </c>
    </row>
    <row r="1098" spans="1:11" ht="30" customHeight="1" x14ac:dyDescent="0.25">
      <c r="A1098" s="60">
        <v>1097</v>
      </c>
      <c r="B1098" s="60">
        <v>220962392</v>
      </c>
      <c r="C1098" s="60" t="s">
        <v>2035</v>
      </c>
      <c r="D1098" s="60">
        <v>7.9</v>
      </c>
      <c r="E1098" s="60">
        <v>8310884077</v>
      </c>
      <c r="F1098" s="60" t="s">
        <v>2036</v>
      </c>
      <c r="G1098" s="60" t="s">
        <v>253</v>
      </c>
      <c r="H1098" s="60" t="s">
        <v>231</v>
      </c>
      <c r="I1098" s="60" t="s">
        <v>21</v>
      </c>
      <c r="K1098" s="161">
        <v>40000</v>
      </c>
    </row>
    <row r="1099" spans="1:11" ht="30" customHeight="1" x14ac:dyDescent="0.25">
      <c r="A1099" s="60">
        <v>1098</v>
      </c>
      <c r="B1099" s="60">
        <v>220962065</v>
      </c>
      <c r="C1099" s="60" t="s">
        <v>2037</v>
      </c>
      <c r="D1099" s="60">
        <v>6</v>
      </c>
      <c r="E1099" s="60">
        <v>9552567865</v>
      </c>
      <c r="F1099" s="60" t="s">
        <v>2038</v>
      </c>
      <c r="G1099" s="60" t="s">
        <v>253</v>
      </c>
      <c r="H1099" s="60" t="s">
        <v>231</v>
      </c>
      <c r="I1099" s="60" t="s">
        <v>21</v>
      </c>
      <c r="K1099" s="161">
        <v>40000</v>
      </c>
    </row>
    <row r="1100" spans="1:11" ht="30" customHeight="1" x14ac:dyDescent="0.25">
      <c r="A1100" s="60">
        <v>1099</v>
      </c>
      <c r="B1100" s="60">
        <v>220911430</v>
      </c>
      <c r="C1100" s="60" t="s">
        <v>2039</v>
      </c>
      <c r="D1100" s="60">
        <v>6.41</v>
      </c>
      <c r="E1100" s="60">
        <v>6200949283</v>
      </c>
      <c r="F1100" s="60" t="s">
        <v>2040</v>
      </c>
      <c r="G1100" s="60" t="s">
        <v>274</v>
      </c>
      <c r="H1100" s="60" t="s">
        <v>231</v>
      </c>
      <c r="I1100" s="60" t="s">
        <v>21</v>
      </c>
      <c r="K1100" s="161">
        <v>40000</v>
      </c>
    </row>
    <row r="1101" spans="1:11" ht="30" customHeight="1" x14ac:dyDescent="0.25">
      <c r="A1101" s="60">
        <v>1100</v>
      </c>
      <c r="B1101" s="159">
        <v>220911524</v>
      </c>
      <c r="C1101" s="159" t="s">
        <v>2041</v>
      </c>
      <c r="D1101" s="160">
        <v>7.05</v>
      </c>
      <c r="E1101" s="159">
        <v>7349622470</v>
      </c>
      <c r="F1101" s="159" t="s">
        <v>2042</v>
      </c>
      <c r="G1101" s="159" t="s">
        <v>274</v>
      </c>
      <c r="H1101" s="60" t="s">
        <v>232</v>
      </c>
      <c r="I1101" s="60" t="s">
        <v>21</v>
      </c>
      <c r="K1101" s="161">
        <v>35000</v>
      </c>
    </row>
    <row r="1102" spans="1:11" ht="30" customHeight="1" x14ac:dyDescent="0.25">
      <c r="A1102" s="60">
        <v>1101</v>
      </c>
      <c r="B1102" s="164">
        <v>220953344</v>
      </c>
      <c r="C1102" s="164" t="s">
        <v>878</v>
      </c>
      <c r="D1102" s="164">
        <v>7.38</v>
      </c>
      <c r="E1102" s="164">
        <v>9356996866</v>
      </c>
      <c r="F1102" s="164" t="s">
        <v>879</v>
      </c>
      <c r="G1102" s="60" t="s">
        <v>261</v>
      </c>
      <c r="H1102" s="60" t="s">
        <v>2043</v>
      </c>
      <c r="I1102" s="60" t="s">
        <v>21</v>
      </c>
      <c r="K1102" s="60">
        <v>30000</v>
      </c>
    </row>
    <row r="1103" spans="1:11" ht="30" customHeight="1" x14ac:dyDescent="0.25">
      <c r="A1103" s="60">
        <v>1102</v>
      </c>
      <c r="B1103" s="164">
        <v>220968338</v>
      </c>
      <c r="C1103" s="164" t="s">
        <v>2044</v>
      </c>
      <c r="D1103" s="164">
        <v>7.26</v>
      </c>
      <c r="E1103" s="164">
        <v>8861400508</v>
      </c>
      <c r="F1103" s="164" t="s">
        <v>2045</v>
      </c>
      <c r="G1103" s="60" t="s">
        <v>384</v>
      </c>
      <c r="H1103" s="60" t="s">
        <v>2043</v>
      </c>
      <c r="I1103" s="60" t="s">
        <v>21</v>
      </c>
      <c r="K1103" s="60">
        <v>30000</v>
      </c>
    </row>
    <row r="1104" spans="1:11" ht="30" customHeight="1" x14ac:dyDescent="0.25">
      <c r="A1104" s="60">
        <v>1103</v>
      </c>
      <c r="B1104" s="60">
        <v>220907716</v>
      </c>
      <c r="C1104" s="60" t="s">
        <v>2046</v>
      </c>
      <c r="D1104" s="60">
        <v>6.99</v>
      </c>
      <c r="E1104" s="60">
        <v>7011360817</v>
      </c>
      <c r="F1104" s="60" t="s">
        <v>2047</v>
      </c>
      <c r="G1104" s="60" t="s">
        <v>277</v>
      </c>
      <c r="H1104" s="60" t="s">
        <v>2048</v>
      </c>
      <c r="I1104" s="60" t="s">
        <v>21</v>
      </c>
      <c r="K1104" s="161"/>
    </row>
    <row r="1105" spans="1:11" ht="30" customHeight="1" x14ac:dyDescent="0.25">
      <c r="A1105" s="60">
        <v>1104</v>
      </c>
      <c r="B1105" s="60">
        <v>220929156</v>
      </c>
      <c r="C1105" s="60" t="s">
        <v>2049</v>
      </c>
      <c r="D1105" s="60">
        <v>9.06</v>
      </c>
      <c r="E1105" s="60">
        <v>9611553678</v>
      </c>
      <c r="F1105" s="60" t="s">
        <v>2050</v>
      </c>
      <c r="G1105" s="60" t="s">
        <v>317</v>
      </c>
      <c r="H1105" s="60" t="s">
        <v>2048</v>
      </c>
      <c r="I1105" s="60" t="s">
        <v>21</v>
      </c>
      <c r="K1105" s="161"/>
    </row>
    <row r="1106" spans="1:11" ht="30" customHeight="1" x14ac:dyDescent="0.25">
      <c r="A1106" s="60">
        <v>1105</v>
      </c>
      <c r="B1106" s="60">
        <v>220929062</v>
      </c>
      <c r="C1106" s="60" t="s">
        <v>2051</v>
      </c>
      <c r="D1106" s="60">
        <v>7.92</v>
      </c>
      <c r="E1106" s="60">
        <v>7305448084</v>
      </c>
      <c r="F1106" s="60" t="s">
        <v>2052</v>
      </c>
      <c r="G1106" s="60" t="s">
        <v>317</v>
      </c>
      <c r="H1106" s="60" t="s">
        <v>2048</v>
      </c>
      <c r="I1106" s="60" t="s">
        <v>21</v>
      </c>
      <c r="K1106" s="161"/>
    </row>
    <row r="1107" spans="1:11" ht="30" customHeight="1" x14ac:dyDescent="0.25">
      <c r="A1107" s="60">
        <v>1106</v>
      </c>
      <c r="B1107" s="60">
        <v>220929276</v>
      </c>
      <c r="C1107" s="60" t="s">
        <v>2053</v>
      </c>
      <c r="D1107" s="60">
        <v>7.6</v>
      </c>
      <c r="E1107" s="60">
        <v>9381508310</v>
      </c>
      <c r="F1107" s="60" t="s">
        <v>2054</v>
      </c>
      <c r="G1107" s="60" t="s">
        <v>317</v>
      </c>
      <c r="H1107" s="60" t="s">
        <v>2048</v>
      </c>
      <c r="I1107" s="60" t="s">
        <v>21</v>
      </c>
      <c r="K1107" s="161"/>
    </row>
    <row r="1108" spans="1:11" ht="30" customHeight="1" x14ac:dyDescent="0.25">
      <c r="A1108" s="60">
        <v>1107</v>
      </c>
      <c r="B1108" s="60">
        <v>220968318</v>
      </c>
      <c r="C1108" s="60" t="s">
        <v>2055</v>
      </c>
      <c r="D1108" s="60">
        <v>8.56</v>
      </c>
      <c r="E1108" s="60">
        <v>8766492275</v>
      </c>
      <c r="F1108" s="60" t="s">
        <v>2056</v>
      </c>
      <c r="G1108" s="60" t="s">
        <v>384</v>
      </c>
      <c r="H1108" s="60" t="s">
        <v>239</v>
      </c>
      <c r="I1108" s="60" t="s">
        <v>21</v>
      </c>
      <c r="K1108" s="161">
        <v>25000</v>
      </c>
    </row>
    <row r="1109" spans="1:11" ht="30" customHeight="1" x14ac:dyDescent="0.25">
      <c r="A1109" s="60">
        <v>1108</v>
      </c>
      <c r="B1109" s="60">
        <v>220961134</v>
      </c>
      <c r="C1109" s="60" t="s">
        <v>2057</v>
      </c>
      <c r="D1109" s="60">
        <v>7.69</v>
      </c>
      <c r="E1109" s="60">
        <v>9449423726</v>
      </c>
      <c r="F1109" s="60" t="s">
        <v>2058</v>
      </c>
      <c r="G1109" s="60" t="s">
        <v>541</v>
      </c>
      <c r="H1109" s="60" t="s">
        <v>239</v>
      </c>
      <c r="I1109" s="60" t="s">
        <v>21</v>
      </c>
      <c r="K1109" s="161">
        <v>25000</v>
      </c>
    </row>
    <row r="1110" spans="1:11" ht="30" customHeight="1" x14ac:dyDescent="0.25">
      <c r="A1110" s="60">
        <v>1109</v>
      </c>
      <c r="B1110" s="60">
        <v>220953152</v>
      </c>
      <c r="C1110" s="60" t="s">
        <v>2059</v>
      </c>
      <c r="D1110" s="60">
        <v>7.06</v>
      </c>
      <c r="E1110" s="60">
        <v>7972248360</v>
      </c>
      <c r="F1110" s="60" t="s">
        <v>2060</v>
      </c>
      <c r="G1110" s="60" t="s">
        <v>261</v>
      </c>
      <c r="H1110" s="60" t="s">
        <v>240</v>
      </c>
      <c r="I1110" s="60" t="s">
        <v>21</v>
      </c>
      <c r="K1110" s="161">
        <v>40000</v>
      </c>
    </row>
    <row r="1111" spans="1:11" ht="30" customHeight="1" x14ac:dyDescent="0.25">
      <c r="A1111" s="60">
        <v>1110</v>
      </c>
      <c r="B1111" s="60">
        <v>220962242</v>
      </c>
      <c r="C1111" s="60" t="s">
        <v>2061</v>
      </c>
      <c r="D1111" s="60">
        <v>8.44</v>
      </c>
      <c r="E1111" s="60">
        <v>8355921665</v>
      </c>
      <c r="F1111" s="60" t="s">
        <v>2062</v>
      </c>
      <c r="G1111" s="60" t="s">
        <v>253</v>
      </c>
      <c r="H1111" s="60" t="s">
        <v>240</v>
      </c>
      <c r="I1111" s="60" t="s">
        <v>21</v>
      </c>
      <c r="K1111" s="161">
        <v>40000</v>
      </c>
    </row>
    <row r="1112" spans="1:11" ht="30" customHeight="1" x14ac:dyDescent="0.25">
      <c r="A1112" s="60">
        <v>1111</v>
      </c>
      <c r="B1112" s="60">
        <v>220961034</v>
      </c>
      <c r="C1112" s="60" t="s">
        <v>2063</v>
      </c>
      <c r="D1112" s="60">
        <v>8.93</v>
      </c>
      <c r="E1112" s="60">
        <v>9372527798</v>
      </c>
      <c r="F1112" s="60" t="s">
        <v>2064</v>
      </c>
      <c r="G1112" s="60" t="s">
        <v>541</v>
      </c>
      <c r="H1112" s="60" t="s">
        <v>240</v>
      </c>
      <c r="I1112" s="60" t="s">
        <v>21</v>
      </c>
      <c r="K1112" s="161">
        <v>40000</v>
      </c>
    </row>
    <row r="1113" spans="1:11" ht="30" customHeight="1" x14ac:dyDescent="0.25">
      <c r="A1113" s="60">
        <v>1112</v>
      </c>
      <c r="B1113" s="60">
        <v>220911053</v>
      </c>
      <c r="C1113" s="60" t="s">
        <v>2065</v>
      </c>
      <c r="D1113" s="60">
        <v>6.82</v>
      </c>
      <c r="E1113" s="60">
        <v>8639154314</v>
      </c>
      <c r="F1113" s="60" t="s">
        <v>2066</v>
      </c>
      <c r="G1113" s="60" t="s">
        <v>274</v>
      </c>
      <c r="H1113" s="60" t="s">
        <v>240</v>
      </c>
      <c r="I1113" s="60" t="s">
        <v>21</v>
      </c>
      <c r="K1113" s="161">
        <v>40000</v>
      </c>
    </row>
  </sheetData>
  <protectedRanges>
    <protectedRange sqref="B1071" name="Range1_1_24_2"/>
    <protectedRange sqref="B1072" name="Range1_1_24_1_1"/>
    <protectedRange sqref="B1069" name="Range1_2"/>
    <protectedRange sqref="D1069" name="Range1_1_3"/>
    <protectedRange sqref="D1070" name="Range1_1_1_1"/>
    <protectedRange sqref="D1071" name="Range1_1_2_1"/>
    <protectedRange sqref="D1072:D1073" name="Range1_1_4_2"/>
    <protectedRange sqref="B1073" name="Range1_1_4_1_1"/>
  </protectedRanges>
  <autoFilter ref="G2:G1113" xr:uid="{B088B2AB-FCCC-49D7-A6A2-7EC87BCF514D}"/>
  <dataValidations count="2">
    <dataValidation type="whole" allowBlank="1" showInputMessage="1" showErrorMessage="1" error="Mobile Number should be of ten digits only" sqref="E110:E116 E889" xr:uid="{39E13D21-2EEE-4003-B70C-0B79C6B77090}">
      <formula1>1000000000</formula1>
      <formula2>10000000000</formula2>
    </dataValidation>
    <dataValidation type="decimal" showInputMessage="1" showErrorMessage="1" sqref="D1033:D1041 D1069:D1075" xr:uid="{C2A6B073-C97D-4322-A4FC-748574B322C2}">
      <formula1>0</formula1>
      <formula2>100</formula2>
    </dataValidation>
  </dataValidations>
  <hyperlinks>
    <hyperlink ref="F241" r:id="rId1" xr:uid="{F22EEACB-0655-4DAF-9C4A-AA333AAEE4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Stats</vt:lpstr>
      <vt:lpstr>Internship</vt:lpstr>
      <vt:lpstr>Students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PLACEMENT</dc:creator>
  <cp:lastModifiedBy>Shivarudraswamy R. [MAHE-MIT]</cp:lastModifiedBy>
  <cp:lastPrinted>2024-12-28T10:48:21Z</cp:lastPrinted>
  <dcterms:created xsi:type="dcterms:W3CDTF">2010-08-30T06:31:13Z</dcterms:created>
  <dcterms:modified xsi:type="dcterms:W3CDTF">2025-12-20T05:22:10Z</dcterms:modified>
</cp:coreProperties>
</file>